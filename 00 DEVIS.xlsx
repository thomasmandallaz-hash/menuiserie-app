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c5acfa00702c49/Documents/ABC/Devis 2026/"/>
    </mc:Choice>
  </mc:AlternateContent>
  <xr:revisionPtr revIDLastSave="48" documentId="8_{ECE2022C-E9A0-4942-BA6B-C75D01EF15ED}" xr6:coauthVersionLast="47" xr6:coauthVersionMax="47" xr10:uidLastSave="{3D195FAF-9229-4EDD-857D-EB5868E149BA}"/>
  <bookViews>
    <workbookView xWindow="-28920" yWindow="-120" windowWidth="29040" windowHeight="15720" xr2:uid="{00000000-000D-0000-FFFF-FFFF00000000}"/>
  </bookViews>
  <sheets>
    <sheet name="Info complémentaires" sheetId="3" r:id="rId1"/>
    <sheet name="UV" sheetId="13" r:id="rId2"/>
  </sheets>
  <definedNames>
    <definedName name="Unites">UV!$A$1:$A$7</definedName>
    <definedName name="Unités">UV!$A$1:$A$7</definedName>
  </definedNames>
  <calcPr calcId="181029"/>
</workbook>
</file>

<file path=xl/calcChain.xml><?xml version="1.0" encoding="utf-8"?>
<calcChain xmlns="http://schemas.openxmlformats.org/spreadsheetml/2006/main">
  <c r="E8" i="3" l="1"/>
  <c r="E10" i="3"/>
  <c r="E9" i="3"/>
  <c r="F9" i="3" s="1"/>
  <c r="F10" i="3"/>
  <c r="E11" i="3"/>
  <c r="F11" i="3"/>
  <c r="C27" i="3"/>
  <c r="G6" i="3"/>
  <c r="G7" i="3"/>
  <c r="G12" i="3"/>
  <c r="G5" i="3"/>
  <c r="E16" i="3"/>
  <c r="F16" i="3" s="1"/>
  <c r="E17" i="3"/>
  <c r="F17" i="3" s="1"/>
  <c r="E18" i="3"/>
  <c r="F18" i="3" s="1"/>
  <c r="E15" i="3"/>
  <c r="F15" i="3" s="1"/>
  <c r="E7" i="3"/>
  <c r="F7" i="3"/>
  <c r="E12" i="3"/>
  <c r="F12" i="3" s="1"/>
  <c r="E13" i="3"/>
  <c r="F13" i="3"/>
  <c r="E14" i="3"/>
  <c r="F14" i="3"/>
  <c r="E6" i="3"/>
  <c r="F6" i="3" s="1"/>
  <c r="E5" i="3"/>
  <c r="F5" i="3" s="1"/>
  <c r="E4" i="3"/>
  <c r="E19" i="3"/>
  <c r="F19" i="3"/>
  <c r="G14" i="3" l="1"/>
  <c r="F4" i="3"/>
  <c r="F26" i="3" l="1"/>
  <c r="E26" i="3"/>
  <c r="F29" i="3" l="1"/>
  <c r="G30" i="3" s="1"/>
  <c r="G29" i="3" l="1"/>
  <c r="H29" i="3" l="1"/>
</calcChain>
</file>

<file path=xl/sharedStrings.xml><?xml version="1.0" encoding="utf-8"?>
<sst xmlns="http://schemas.openxmlformats.org/spreadsheetml/2006/main" count="57" uniqueCount="48">
  <si>
    <t>UV</t>
  </si>
  <si>
    <t>Ml</t>
  </si>
  <si>
    <t>M²</t>
  </si>
  <si>
    <r>
      <t>M</t>
    </r>
    <r>
      <rPr>
        <vertAlign val="superscript"/>
        <sz val="10"/>
        <rFont val="Times New Roman"/>
        <family val="1"/>
      </rPr>
      <t>3</t>
    </r>
  </si>
  <si>
    <t>Jour</t>
  </si>
  <si>
    <t>Heures</t>
  </si>
  <si>
    <t>Forf</t>
  </si>
  <si>
    <t>U</t>
  </si>
  <si>
    <t>Q</t>
  </si>
  <si>
    <t>Prix de vente unitaire</t>
  </si>
  <si>
    <t>total HT</t>
  </si>
  <si>
    <t>ref: BMO</t>
  </si>
  <si>
    <t>ref:DISPANO</t>
  </si>
  <si>
    <t>ref:LALIARD</t>
  </si>
  <si>
    <t>ref: LBA</t>
  </si>
  <si>
    <t>ref:DECOUX</t>
  </si>
  <si>
    <t>M.O pose</t>
  </si>
  <si>
    <t>heures</t>
  </si>
  <si>
    <t>Devis</t>
  </si>
  <si>
    <t>forf</t>
  </si>
  <si>
    <t>TOTAL</t>
  </si>
  <si>
    <t>Etude</t>
  </si>
  <si>
    <t>Dechetterie</t>
  </si>
  <si>
    <t>Intendance ( appel telephonique etc)</t>
  </si>
  <si>
    <t>M.O Fab</t>
  </si>
  <si>
    <t>Deplacement pour pose</t>
  </si>
  <si>
    <t>Déplacement pour devis</t>
  </si>
  <si>
    <t>M.O chargement</t>
  </si>
  <si>
    <t>Forfait kilometrique</t>
  </si>
  <si>
    <t>Km</t>
  </si>
  <si>
    <t>% de perte</t>
  </si>
  <si>
    <t>Relevé de cote</t>
  </si>
  <si>
    <t>Fourniture materiel</t>
  </si>
  <si>
    <t>Total CA</t>
  </si>
  <si>
    <t>CA - Achat brut</t>
  </si>
  <si>
    <t>Total heures productive</t>
  </si>
  <si>
    <t xml:space="preserve">Taux horaire devis               Taux horaire de référence 57€ </t>
  </si>
  <si>
    <t>Panneaux de caissons</t>
  </si>
  <si>
    <t>Panneaux de façade</t>
  </si>
  <si>
    <t>Panneau de fond</t>
  </si>
  <si>
    <t>Charnières + embases</t>
  </si>
  <si>
    <t>Prix d'achat</t>
  </si>
  <si>
    <t>pc</t>
  </si>
  <si>
    <t>Tiroirs</t>
  </si>
  <si>
    <t>Forf pour 1</t>
  </si>
  <si>
    <t>Rouleau de chant</t>
  </si>
  <si>
    <t>Barre à penderie</t>
  </si>
  <si>
    <t>Pourcentage de materiaux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</si>
</sst>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vertAlign val="superscript"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ED0000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rgb="FFFF0000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2" xfId="0" applyFont="1" applyBorder="1"/>
    <xf numFmtId="0" fontId="8" fillId="0" borderId="7" xfId="0" applyFont="1" applyBorder="1"/>
    <xf numFmtId="0" fontId="8" fillId="0" borderId="3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6" xfId="0" applyFont="1" applyBorder="1"/>
    <xf numFmtId="0" fontId="8" fillId="0" borderId="21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7" fillId="0" borderId="11" xfId="0" applyFont="1" applyBorder="1"/>
    <xf numFmtId="0" fontId="7" fillId="0" borderId="17" xfId="0" applyFont="1" applyBorder="1"/>
    <xf numFmtId="0" fontId="7" fillId="0" borderId="2" xfId="0" applyFont="1" applyBorder="1"/>
    <xf numFmtId="0" fontId="6" fillId="0" borderId="11" xfId="0" applyFont="1" applyBorder="1"/>
    <xf numFmtId="0" fontId="5" fillId="0" borderId="20" xfId="0" applyFont="1" applyBorder="1"/>
    <xf numFmtId="0" fontId="5" fillId="0" borderId="2" xfId="0" applyFont="1" applyBorder="1"/>
    <xf numFmtId="0" fontId="5" fillId="0" borderId="6" xfId="0" applyFont="1" applyBorder="1"/>
    <xf numFmtId="0" fontId="8" fillId="0" borderId="5" xfId="0" applyFont="1" applyBorder="1"/>
    <xf numFmtId="0" fontId="5" fillId="0" borderId="7" xfId="0" applyFont="1" applyBorder="1"/>
    <xf numFmtId="0" fontId="4" fillId="0" borderId="20" xfId="0" applyFont="1" applyBorder="1"/>
    <xf numFmtId="0" fontId="4" fillId="0" borderId="2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4" fillId="0" borderId="30" xfId="0" applyFont="1" applyBorder="1"/>
    <xf numFmtId="0" fontId="8" fillId="0" borderId="8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/>
    <xf numFmtId="0" fontId="8" fillId="0" borderId="1" xfId="0" applyFont="1" applyBorder="1"/>
    <xf numFmtId="0" fontId="8" fillId="0" borderId="29" xfId="0" applyFont="1" applyBorder="1"/>
    <xf numFmtId="0" fontId="8" fillId="0" borderId="10" xfId="0" applyFont="1" applyBorder="1"/>
    <xf numFmtId="0" fontId="8" fillId="0" borderId="28" xfId="0" applyFont="1" applyBorder="1"/>
    <xf numFmtId="0" fontId="8" fillId="0" borderId="31" xfId="0" applyFont="1" applyBorder="1"/>
    <xf numFmtId="0" fontId="8" fillId="0" borderId="34" xfId="0" applyFont="1" applyBorder="1"/>
    <xf numFmtId="0" fontId="8" fillId="0" borderId="35" xfId="0" applyFont="1" applyBorder="1"/>
    <xf numFmtId="0" fontId="5" fillId="0" borderId="5" xfId="0" applyFont="1" applyBorder="1"/>
    <xf numFmtId="0" fontId="8" fillId="0" borderId="32" xfId="0" applyFont="1" applyBorder="1"/>
    <xf numFmtId="0" fontId="8" fillId="0" borderId="36" xfId="0" applyFont="1" applyBorder="1"/>
    <xf numFmtId="0" fontId="4" fillId="0" borderId="31" xfId="0" applyFont="1" applyBorder="1"/>
    <xf numFmtId="0" fontId="5" fillId="0" borderId="37" xfId="0" applyFont="1" applyBorder="1"/>
    <xf numFmtId="0" fontId="8" fillId="0" borderId="38" xfId="0" applyFont="1" applyBorder="1"/>
    <xf numFmtId="0" fontId="12" fillId="0" borderId="39" xfId="0" applyFont="1" applyBorder="1"/>
    <xf numFmtId="0" fontId="8" fillId="0" borderId="40" xfId="0" applyFont="1" applyBorder="1"/>
    <xf numFmtId="0" fontId="11" fillId="0" borderId="2" xfId="0" applyFont="1" applyBorder="1" applyAlignment="1">
      <alignment horizontal="right"/>
    </xf>
    <xf numFmtId="0" fontId="4" fillId="0" borderId="6" xfId="0" applyFont="1" applyBorder="1"/>
    <xf numFmtId="0" fontId="3" fillId="0" borderId="2" xfId="0" applyFont="1" applyBorder="1"/>
    <xf numFmtId="0" fontId="2" fillId="0" borderId="30" xfId="0" applyFont="1" applyBorder="1"/>
    <xf numFmtId="0" fontId="2" fillId="0" borderId="12" xfId="0" applyFont="1" applyBorder="1" applyAlignment="1">
      <alignment horizontal="center" vertical="center"/>
    </xf>
    <xf numFmtId="0" fontId="2" fillId="0" borderId="33" xfId="0" applyFont="1" applyBorder="1"/>
    <xf numFmtId="0" fontId="13" fillId="0" borderId="2" xfId="0" applyFont="1" applyBorder="1"/>
    <xf numFmtId="0" fontId="1" fillId="0" borderId="7" xfId="0" applyFont="1" applyBorder="1"/>
    <xf numFmtId="0" fontId="8" fillId="0" borderId="9" xfId="0" applyFont="1" applyBorder="1"/>
    <xf numFmtId="0" fontId="8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showGridLines="0" showZeros="0" tabSelected="1" zoomScale="140" zoomScaleNormal="140" workbookViewId="0">
      <selection activeCell="C9" sqref="C9"/>
    </sheetView>
  </sheetViews>
  <sheetFormatPr baseColWidth="10" defaultRowHeight="12.75" x14ac:dyDescent="0.2"/>
  <cols>
    <col min="1" max="1" width="40.6640625" customWidth="1"/>
    <col min="2" max="4" width="11.5" customWidth="1"/>
    <col min="5" max="5" width="13.83203125" customWidth="1"/>
    <col min="7" max="7" width="22.33203125" customWidth="1"/>
    <col min="8" max="8" width="88.6640625" customWidth="1"/>
    <col min="12" max="12" width="12.6640625" customWidth="1"/>
  </cols>
  <sheetData>
    <row r="1" spans="1:12" ht="45.75" thickBot="1" x14ac:dyDescent="0.3">
      <c r="A1" s="24"/>
      <c r="B1" s="4" t="s">
        <v>7</v>
      </c>
      <c r="C1" s="4" t="s">
        <v>8</v>
      </c>
      <c r="D1" s="63" t="s">
        <v>41</v>
      </c>
      <c r="E1" s="5" t="s">
        <v>9</v>
      </c>
      <c r="F1" s="6" t="s">
        <v>10</v>
      </c>
      <c r="G1" s="6"/>
      <c r="H1" s="4" t="s">
        <v>11</v>
      </c>
      <c r="I1" s="4" t="s">
        <v>12</v>
      </c>
      <c r="J1" s="4" t="s">
        <v>13</v>
      </c>
      <c r="K1" s="4" t="s">
        <v>14</v>
      </c>
      <c r="L1" s="7" t="s">
        <v>15</v>
      </c>
    </row>
    <row r="2" spans="1:12" ht="15.75" thickBot="1" x14ac:dyDescent="0.3">
      <c r="A2" s="27"/>
      <c r="B2" s="8"/>
      <c r="C2" s="8"/>
      <c r="D2" s="8"/>
      <c r="E2" s="8"/>
      <c r="F2" s="9"/>
      <c r="G2" s="22"/>
      <c r="H2" s="10"/>
      <c r="I2" s="10"/>
      <c r="J2" s="10"/>
      <c r="K2" s="8"/>
      <c r="L2" s="11"/>
    </row>
    <row r="3" spans="1:12" ht="15" x14ac:dyDescent="0.25">
      <c r="A3" s="25"/>
      <c r="B3" s="26"/>
      <c r="C3" s="12"/>
      <c r="D3" s="12"/>
      <c r="E3" s="12"/>
      <c r="F3" s="13"/>
      <c r="G3" s="56"/>
      <c r="H3" s="12"/>
      <c r="I3" s="12"/>
      <c r="J3" s="12"/>
      <c r="K3" s="14"/>
      <c r="L3" s="15"/>
    </row>
    <row r="4" spans="1:12" ht="15" x14ac:dyDescent="0.25">
      <c r="A4" s="35" t="s">
        <v>21</v>
      </c>
      <c r="B4" s="37" t="s">
        <v>17</v>
      </c>
      <c r="C4" s="18">
        <v>0</v>
      </c>
      <c r="D4" s="18">
        <v>70</v>
      </c>
      <c r="E4" s="18">
        <f>D4</f>
        <v>70</v>
      </c>
      <c r="F4" s="47">
        <f>C4*E4</f>
        <v>0</v>
      </c>
      <c r="G4" s="57"/>
      <c r="H4" s="40"/>
      <c r="I4" s="12"/>
      <c r="J4" s="12"/>
      <c r="K4" s="12"/>
      <c r="L4" s="16"/>
    </row>
    <row r="5" spans="1:12" ht="15" x14ac:dyDescent="0.25">
      <c r="A5" s="62" t="s">
        <v>37</v>
      </c>
      <c r="B5" s="42" t="s">
        <v>2</v>
      </c>
      <c r="C5" s="48"/>
      <c r="D5" s="48">
        <v>7.8</v>
      </c>
      <c r="E5" s="48">
        <f>D5*1.6</f>
        <v>12.48</v>
      </c>
      <c r="F5" s="52">
        <f t="shared" ref="F5" si="0">C5*E5</f>
        <v>0</v>
      </c>
      <c r="G5" s="54">
        <f>C5*D5</f>
        <v>0</v>
      </c>
      <c r="H5" s="44"/>
      <c r="I5" s="18"/>
      <c r="J5" s="18"/>
      <c r="K5" s="18"/>
      <c r="L5" s="19"/>
    </row>
    <row r="6" spans="1:12" ht="15" x14ac:dyDescent="0.25">
      <c r="A6" s="62" t="s">
        <v>38</v>
      </c>
      <c r="B6" s="42" t="s">
        <v>2</v>
      </c>
      <c r="C6" s="48"/>
      <c r="D6" s="50">
        <v>15</v>
      </c>
      <c r="E6" s="50">
        <f t="shared" ref="E6:E14" si="1">D6*1.6</f>
        <v>24</v>
      </c>
      <c r="F6" s="52">
        <f t="shared" ref="F6" si="2">C6*E6</f>
        <v>0</v>
      </c>
      <c r="G6" s="54">
        <f t="shared" ref="G6:G12" si="3">C6*D6</f>
        <v>0</v>
      </c>
      <c r="H6" s="44"/>
      <c r="I6" s="18"/>
      <c r="J6" s="18"/>
      <c r="K6" s="18"/>
      <c r="L6" s="19"/>
    </row>
    <row r="7" spans="1:12" ht="15" x14ac:dyDescent="0.25">
      <c r="A7" s="62" t="s">
        <v>39</v>
      </c>
      <c r="B7" s="42" t="s">
        <v>2</v>
      </c>
      <c r="C7" s="48"/>
      <c r="D7" s="49">
        <v>8.8000000000000007</v>
      </c>
      <c r="E7" s="48">
        <f t="shared" si="1"/>
        <v>14.080000000000002</v>
      </c>
      <c r="F7" s="53">
        <f t="shared" ref="F7:F14" si="4">C7*E7</f>
        <v>0</v>
      </c>
      <c r="G7" s="54">
        <f t="shared" si="3"/>
        <v>0</v>
      </c>
      <c r="H7" s="44"/>
      <c r="I7" s="18"/>
      <c r="J7" s="18"/>
      <c r="K7" s="18"/>
      <c r="L7" s="19"/>
    </row>
    <row r="8" spans="1:12" ht="15" x14ac:dyDescent="0.25">
      <c r="A8" s="62" t="s">
        <v>45</v>
      </c>
      <c r="B8" s="64" t="s">
        <v>1</v>
      </c>
      <c r="C8" s="48"/>
      <c r="D8" s="49">
        <v>0.65</v>
      </c>
      <c r="E8" s="48">
        <f t="shared" si="1"/>
        <v>1.04</v>
      </c>
      <c r="F8" s="53"/>
      <c r="G8" s="54"/>
      <c r="H8" s="44"/>
      <c r="I8" s="18"/>
      <c r="J8" s="18"/>
      <c r="K8" s="18"/>
      <c r="L8" s="19"/>
    </row>
    <row r="9" spans="1:12" ht="15" x14ac:dyDescent="0.25">
      <c r="A9" s="62" t="s">
        <v>40</v>
      </c>
      <c r="B9" s="64" t="s">
        <v>42</v>
      </c>
      <c r="C9" s="48"/>
      <c r="D9" s="48">
        <v>5</v>
      </c>
      <c r="E9" s="48">
        <f t="shared" ref="E9:E11" si="5">D9*1.6</f>
        <v>8</v>
      </c>
      <c r="F9" s="53">
        <f t="shared" ref="F9:F11" si="6">C9*E9</f>
        <v>0</v>
      </c>
      <c r="G9" s="54"/>
      <c r="H9" s="44"/>
      <c r="I9" s="18"/>
      <c r="J9" s="18"/>
      <c r="K9" s="18"/>
      <c r="L9" s="19"/>
    </row>
    <row r="10" spans="1:12" ht="15" x14ac:dyDescent="0.25">
      <c r="A10" s="62" t="s">
        <v>43</v>
      </c>
      <c r="B10" s="64" t="s">
        <v>44</v>
      </c>
      <c r="C10" s="48"/>
      <c r="D10" s="48">
        <v>170</v>
      </c>
      <c r="E10" s="48">
        <f>D10*1.1</f>
        <v>187.00000000000003</v>
      </c>
      <c r="F10" s="53">
        <f t="shared" si="6"/>
        <v>0</v>
      </c>
      <c r="G10" s="54"/>
      <c r="H10" s="44"/>
      <c r="I10" s="18"/>
      <c r="J10" s="18"/>
      <c r="K10" s="18"/>
      <c r="L10" s="19"/>
    </row>
    <row r="11" spans="1:12" ht="15" x14ac:dyDescent="0.25">
      <c r="A11" s="62" t="s">
        <v>46</v>
      </c>
      <c r="B11" s="43"/>
      <c r="C11" s="48"/>
      <c r="D11" s="48"/>
      <c r="E11" s="48">
        <f t="shared" si="5"/>
        <v>0</v>
      </c>
      <c r="F11" s="53">
        <f t="shared" si="6"/>
        <v>0</v>
      </c>
      <c r="G11" s="54"/>
      <c r="H11" s="44"/>
      <c r="I11" s="18"/>
      <c r="J11" s="18"/>
      <c r="K11" s="18"/>
      <c r="L11" s="19"/>
    </row>
    <row r="12" spans="1:12" ht="15" x14ac:dyDescent="0.25">
      <c r="A12" s="39" t="s">
        <v>32</v>
      </c>
      <c r="B12" s="43"/>
      <c r="C12" s="48"/>
      <c r="D12" s="48"/>
      <c r="E12" s="48">
        <f t="shared" si="1"/>
        <v>0</v>
      </c>
      <c r="F12" s="53">
        <f t="shared" si="4"/>
        <v>0</v>
      </c>
      <c r="G12" s="54">
        <f t="shared" si="3"/>
        <v>0</v>
      </c>
      <c r="H12" s="44"/>
      <c r="I12" s="18"/>
      <c r="J12" s="18"/>
      <c r="K12" s="18"/>
      <c r="L12" s="19"/>
    </row>
    <row r="13" spans="1:12" ht="15" x14ac:dyDescent="0.25">
      <c r="A13" s="55"/>
      <c r="B13" s="41"/>
      <c r="C13" s="48"/>
      <c r="D13" s="49"/>
      <c r="E13" s="49">
        <f t="shared" si="1"/>
        <v>0</v>
      </c>
      <c r="F13" s="49">
        <f t="shared" si="4"/>
        <v>0</v>
      </c>
      <c r="G13" s="54"/>
      <c r="H13" s="44"/>
      <c r="I13" s="18"/>
      <c r="J13" s="18"/>
      <c r="K13" s="18"/>
      <c r="L13" s="19"/>
    </row>
    <row r="14" spans="1:12" ht="15" x14ac:dyDescent="0.25">
      <c r="A14" s="36"/>
      <c r="B14" s="38"/>
      <c r="C14" s="48"/>
      <c r="D14" s="45"/>
      <c r="E14" s="45">
        <f t="shared" si="1"/>
        <v>0</v>
      </c>
      <c r="F14" s="46">
        <f t="shared" si="4"/>
        <v>0</v>
      </c>
      <c r="G14" s="46">
        <f>SUM(G5:G13)</f>
        <v>0</v>
      </c>
      <c r="H14" s="18"/>
      <c r="I14" s="18"/>
      <c r="J14" s="18"/>
      <c r="K14" s="18"/>
      <c r="L14" s="19"/>
    </row>
    <row r="15" spans="1:12" ht="15" x14ac:dyDescent="0.25">
      <c r="A15" s="28" t="s">
        <v>24</v>
      </c>
      <c r="B15" s="12" t="s">
        <v>17</v>
      </c>
      <c r="C15" s="48"/>
      <c r="D15" s="12">
        <v>75</v>
      </c>
      <c r="E15" s="18">
        <f>D15</f>
        <v>75</v>
      </c>
      <c r="F15" s="31">
        <f t="shared" ref="F15:F18" si="7">C15*E15</f>
        <v>0</v>
      </c>
      <c r="G15" s="31"/>
      <c r="H15" s="18"/>
      <c r="I15" s="18"/>
      <c r="J15" s="18"/>
      <c r="K15" s="18"/>
      <c r="L15" s="19"/>
    </row>
    <row r="16" spans="1:12" ht="15" x14ac:dyDescent="0.25">
      <c r="A16" s="17" t="s">
        <v>16</v>
      </c>
      <c r="B16" s="12" t="s">
        <v>17</v>
      </c>
      <c r="C16" s="18">
        <v>0</v>
      </c>
      <c r="D16" s="12">
        <v>75</v>
      </c>
      <c r="E16" s="18">
        <f t="shared" ref="E16:E18" si="8">D16</f>
        <v>75</v>
      </c>
      <c r="F16" s="31">
        <f t="shared" si="7"/>
        <v>0</v>
      </c>
      <c r="G16" s="31"/>
      <c r="H16" s="18"/>
      <c r="I16" s="18"/>
      <c r="J16" s="18"/>
      <c r="K16" s="18"/>
      <c r="L16" s="19"/>
    </row>
    <row r="17" spans="1:12" ht="15" x14ac:dyDescent="0.25">
      <c r="A17" s="28" t="s">
        <v>27</v>
      </c>
      <c r="B17" s="12" t="s">
        <v>17</v>
      </c>
      <c r="C17" s="18">
        <v>0</v>
      </c>
      <c r="D17" s="12">
        <v>75</v>
      </c>
      <c r="E17" s="18">
        <f t="shared" si="8"/>
        <v>75</v>
      </c>
      <c r="F17" s="31">
        <f t="shared" si="7"/>
        <v>0</v>
      </c>
      <c r="G17" s="31"/>
      <c r="H17" s="18"/>
      <c r="I17" s="18"/>
      <c r="J17" s="18"/>
      <c r="K17" s="18"/>
      <c r="L17" s="19"/>
    </row>
    <row r="18" spans="1:12" ht="15" x14ac:dyDescent="0.25">
      <c r="A18" s="28" t="s">
        <v>25</v>
      </c>
      <c r="B18" s="12" t="s">
        <v>17</v>
      </c>
      <c r="C18" s="18">
        <v>0</v>
      </c>
      <c r="D18" s="12">
        <v>75</v>
      </c>
      <c r="E18" s="18">
        <f t="shared" si="8"/>
        <v>75</v>
      </c>
      <c r="F18" s="31">
        <f t="shared" si="7"/>
        <v>0</v>
      </c>
      <c r="G18" s="31"/>
      <c r="H18" s="18"/>
      <c r="I18" s="18"/>
      <c r="J18" s="18"/>
      <c r="K18" s="18"/>
      <c r="L18" s="19"/>
    </row>
    <row r="19" spans="1:12" ht="15" x14ac:dyDescent="0.25">
      <c r="A19" s="29" t="s">
        <v>28</v>
      </c>
      <c r="B19" s="30" t="s">
        <v>29</v>
      </c>
      <c r="C19" s="30">
        <v>0</v>
      </c>
      <c r="D19" s="30">
        <v>0.60599999999999998</v>
      </c>
      <c r="E19" s="29">
        <f>C19*D19</f>
        <v>0</v>
      </c>
      <c r="F19" s="32">
        <f>C19*D19</f>
        <v>0</v>
      </c>
      <c r="G19" s="51"/>
      <c r="H19" s="18"/>
      <c r="I19" s="18"/>
      <c r="J19" s="18"/>
      <c r="K19" s="18"/>
      <c r="L19" s="19"/>
    </row>
    <row r="20" spans="1:12" ht="15" x14ac:dyDescent="0.25">
      <c r="B20" s="18"/>
      <c r="C20" s="18"/>
      <c r="D20" s="18"/>
      <c r="E20" s="12"/>
      <c r="F20" s="13"/>
      <c r="G20" s="31"/>
      <c r="H20" s="18"/>
      <c r="I20" s="18"/>
      <c r="J20" s="18"/>
      <c r="K20" s="18"/>
      <c r="L20" s="19"/>
    </row>
    <row r="21" spans="1:12" ht="15" x14ac:dyDescent="0.25">
      <c r="A21" s="28" t="s">
        <v>31</v>
      </c>
      <c r="B21" s="18"/>
      <c r="C21" s="18"/>
      <c r="D21" s="18"/>
      <c r="E21" s="12"/>
      <c r="F21" s="13"/>
      <c r="G21" s="31"/>
      <c r="H21" s="18"/>
      <c r="I21" s="18"/>
      <c r="J21" s="18"/>
      <c r="K21" s="18"/>
      <c r="L21" s="19"/>
    </row>
    <row r="22" spans="1:12" ht="15" x14ac:dyDescent="0.25">
      <c r="A22" s="28" t="s">
        <v>23</v>
      </c>
      <c r="B22" s="30" t="s">
        <v>19</v>
      </c>
      <c r="C22" s="18">
        <v>0</v>
      </c>
      <c r="D22" s="18"/>
      <c r="E22" s="12"/>
      <c r="F22" s="13"/>
      <c r="G22" s="31"/>
      <c r="H22" s="18"/>
      <c r="I22" s="18"/>
      <c r="J22" s="18"/>
      <c r="K22" s="18"/>
      <c r="L22" s="19"/>
    </row>
    <row r="23" spans="1:12" ht="15" x14ac:dyDescent="0.25">
      <c r="A23" s="28"/>
      <c r="B23" s="18"/>
      <c r="C23" s="18"/>
      <c r="D23" s="18"/>
      <c r="E23" s="12"/>
      <c r="F23" s="13"/>
      <c r="G23" s="31"/>
      <c r="H23" s="18"/>
      <c r="I23" s="18"/>
      <c r="J23" s="18"/>
      <c r="K23" s="18"/>
      <c r="L23" s="19"/>
    </row>
    <row r="24" spans="1:12" ht="15" x14ac:dyDescent="0.25">
      <c r="A24" s="28" t="s">
        <v>22</v>
      </c>
      <c r="B24" s="30" t="s">
        <v>30</v>
      </c>
      <c r="C24" s="18"/>
      <c r="D24" s="18"/>
      <c r="E24" s="12"/>
      <c r="F24" s="13"/>
      <c r="G24" s="31"/>
      <c r="H24" s="18"/>
      <c r="I24" s="18"/>
      <c r="J24" s="18"/>
      <c r="K24" s="18"/>
      <c r="L24" s="19"/>
    </row>
    <row r="25" spans="1:12" ht="15" x14ac:dyDescent="0.25">
      <c r="A25" s="28" t="s">
        <v>26</v>
      </c>
      <c r="B25" s="18"/>
      <c r="C25" s="18"/>
      <c r="D25" s="18"/>
      <c r="E25" s="12"/>
      <c r="F25" s="13"/>
      <c r="G25" s="31"/>
      <c r="H25" s="18"/>
      <c r="I25" s="18"/>
      <c r="J25" s="18"/>
      <c r="K25" s="18"/>
      <c r="L25" s="19"/>
    </row>
    <row r="26" spans="1:12" ht="15" x14ac:dyDescent="0.25">
      <c r="A26" s="17" t="s">
        <v>18</v>
      </c>
      <c r="B26" s="18" t="s">
        <v>19</v>
      </c>
      <c r="C26" s="18">
        <v>0</v>
      </c>
      <c r="D26" s="18">
        <v>70</v>
      </c>
      <c r="E26" s="12">
        <f>C26*D26</f>
        <v>0</v>
      </c>
      <c r="F26" s="13">
        <f>C26*D26</f>
        <v>0</v>
      </c>
      <c r="G26" s="31"/>
      <c r="H26" s="18"/>
      <c r="I26" s="18"/>
      <c r="J26" s="18"/>
      <c r="K26" s="18"/>
      <c r="L26" s="19"/>
    </row>
    <row r="27" spans="1:12" ht="15.75" thickBot="1" x14ac:dyDescent="0.3">
      <c r="A27" s="33" t="s">
        <v>35</v>
      </c>
      <c r="B27" s="18"/>
      <c r="C27" s="60">
        <f>C4+C15+C16+C17+C18+C21+C22+C25+C26</f>
        <v>0</v>
      </c>
      <c r="D27" s="18"/>
      <c r="E27" s="18"/>
      <c r="F27" s="31"/>
      <c r="G27" s="31"/>
      <c r="H27" s="18"/>
      <c r="I27" s="18"/>
      <c r="J27" s="18"/>
      <c r="K27" s="20"/>
      <c r="L27" s="21"/>
    </row>
    <row r="28" spans="1:12" ht="15.75" thickTop="1" x14ac:dyDescent="0.25">
      <c r="A28" s="12"/>
      <c r="B28" s="12"/>
      <c r="C28" s="12"/>
      <c r="D28" s="12"/>
      <c r="E28" s="12"/>
      <c r="F28" s="34" t="s">
        <v>33</v>
      </c>
      <c r="G28" s="34" t="s">
        <v>34</v>
      </c>
      <c r="H28" s="61" t="s">
        <v>36</v>
      </c>
      <c r="I28" s="12"/>
      <c r="J28" s="12"/>
      <c r="K28" s="45"/>
      <c r="L28" s="58"/>
    </row>
    <row r="29" spans="1:12" ht="15.75" thickBot="1" x14ac:dyDescent="0.3">
      <c r="A29" s="59" t="s">
        <v>20</v>
      </c>
      <c r="B29" s="12"/>
      <c r="C29" s="12"/>
      <c r="D29" s="12"/>
      <c r="E29" s="12"/>
      <c r="F29" s="12">
        <f>SUM(F3:F27)</f>
        <v>0</v>
      </c>
      <c r="G29" s="12">
        <f>F29-G14</f>
        <v>0</v>
      </c>
      <c r="H29" s="12" t="e">
        <f>G29/C27</f>
        <v>#DIV/0!</v>
      </c>
      <c r="I29" s="12"/>
      <c r="J29" s="12"/>
      <c r="K29" s="10"/>
      <c r="L29" s="23"/>
    </row>
    <row r="30" spans="1:12" ht="15" x14ac:dyDescent="0.25">
      <c r="C30" s="66" t="s">
        <v>47</v>
      </c>
      <c r="D30" s="67"/>
      <c r="E30" s="67"/>
      <c r="F30" s="68"/>
      <c r="G30" s="65" t="e">
        <f>G14*100/F29</f>
        <v>#DIV/0!</v>
      </c>
    </row>
  </sheetData>
  <mergeCells count="1">
    <mergeCell ref="C30:F30"/>
  </mergeCells>
  <phoneticPr fontId="9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workbookViewId="0">
      <selection activeCell="A4" sqref="A4"/>
    </sheetView>
  </sheetViews>
  <sheetFormatPr baseColWidth="10" defaultRowHeight="12.75" x14ac:dyDescent="0.2"/>
  <sheetData>
    <row r="1" spans="1:1" ht="13.5" thickBot="1" x14ac:dyDescent="0.25">
      <c r="A1" s="3" t="s">
        <v>0</v>
      </c>
    </row>
    <row r="2" spans="1:1" x14ac:dyDescent="0.2">
      <c r="A2" s="2" t="s">
        <v>1</v>
      </c>
    </row>
    <row r="3" spans="1:1" x14ac:dyDescent="0.2">
      <c r="A3" s="1" t="s">
        <v>2</v>
      </c>
    </row>
    <row r="4" spans="1:1" x14ac:dyDescent="0.2">
      <c r="A4" s="1" t="s">
        <v>6</v>
      </c>
    </row>
    <row r="5" spans="1:1" ht="15.75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Info complémentaires</vt:lpstr>
      <vt:lpstr>UV</vt:lpstr>
      <vt:lpstr>Unites</vt:lpstr>
      <vt:lpstr>Unités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Tanguy</dc:creator>
  <cp:lastModifiedBy>Thomas Mandallaz</cp:lastModifiedBy>
  <cp:lastPrinted>2019-10-04T15:30:53Z</cp:lastPrinted>
  <dcterms:created xsi:type="dcterms:W3CDTF">2007-06-29T18:24:06Z</dcterms:created>
  <dcterms:modified xsi:type="dcterms:W3CDTF">2026-09-21T08:42:59Z</dcterms:modified>
</cp:coreProperties>
</file>