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'Worksheet'!$A$1:$P$1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<sst xmlns="http://schemas.openxmlformats.org/spreadsheetml/2006/main" uniqueCount="420">
  <si>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Identifiant</t>
  </si>
  <si>
    <t>Nom</t>
  </si>
  <si>
    <t>Client</t>
  </si>
  <si>
    <t>Numéro de commande</t>
  </si>
  <si>
    <t>Date de commande</t>
  </si>
  <si>
    <t>Début du projet</t>
  </si>
  <si>
    <t>Fin du projet</t>
  </si>
  <si>
    <t>Temps verrouillé jusqu'à</t>
  </si>
  <si>
    <t>Budget</t>
  </si>
  <si>
    <t>Quota horaire</t>
  </si>
  <si>
    <t>Type de budget</t>
  </si>
  <si>
    <t>Couleur</t>
  </si>
  <si>
    <t>Visible</t>
  </si>
  <si>
    <t>Commentaire</t>
  </si>
  <si>
    <t>Facturable</t>
  </si>
  <si>
    <t>Numéro de projet</t>
  </si>
  <si>
    <t>25/169 Fourniture et pose de bloc portes</t>
  </si>
  <si>
    <t>Nicolas MERCIER ET Marie MALINVAUD</t>
  </si>
  <si>
    <t>0078</t>
  </si>
  <si>
    <t>25/19 Fabrication étagères et passe plat</t>
  </si>
  <si>
    <t>Norma</t>
  </si>
  <si>
    <t>0074</t>
  </si>
  <si>
    <t>25/20 Pose cuisine Joubert</t>
  </si>
  <si>
    <t>Ambiance interieur</t>
  </si>
  <si>
    <t>0073</t>
  </si>
  <si>
    <t>26/ 227 Réfection d'un plan de travail de cuisine</t>
  </si>
  <si>
    <t>Cornachon Jean François</t>
  </si>
  <si>
    <t>0156</t>
  </si>
  <si>
    <t>26/221 Fabrication et pose d'étagères dans des niches</t>
  </si>
  <si>
    <t>Givre Cécile</t>
  </si>
  <si>
    <t>0149</t>
  </si>
  <si>
    <t>Clientèle</t>
  </si>
  <si>
    <t>Agencement bois création</t>
  </si>
  <si>
    <t>0071</t>
  </si>
  <si>
    <t>OE 20/01 Rénovation maison</t>
  </si>
  <si>
    <t>Mandallaz Thomas</t>
  </si>
  <si>
    <t>0014</t>
  </si>
  <si>
    <t>OE 24/112 Fabrication et pose de façade de meuble</t>
  </si>
  <si>
    <t>Murgier Pierre</t>
  </si>
  <si>
    <t>0012</t>
  </si>
  <si>
    <t>OE 24/86 Fabrication de meuble de chambre</t>
  </si>
  <si>
    <t>0011</t>
  </si>
  <si>
    <t>OE 24/94 Fabrication et pose de porte d'entrée</t>
  </si>
  <si>
    <t>Ophelie GUERRAZ</t>
  </si>
  <si>
    <t>0015</t>
  </si>
  <si>
    <t>OE 24/98 Fourniture et pose de fenêtres</t>
  </si>
  <si>
    <t>Bouchut Raphael</t>
  </si>
  <si>
    <t>0004</t>
  </si>
  <si>
    <t>OE 25/ 180 Fabrication et pose de placard dans un couloir</t>
  </si>
  <si>
    <t>0091</t>
  </si>
  <si>
    <t>OE 25/00 Travail de bureau</t>
  </si>
  <si>
    <t>0006</t>
  </si>
  <si>
    <t>0020</t>
  </si>
  <si>
    <t>OE 25/01 Aménagement Atelier</t>
  </si>
  <si>
    <t>0013</t>
  </si>
  <si>
    <t>OE 25/02 Pose de plan de travail et fab et pose de claustra</t>
  </si>
  <si>
    <t>P et M Mandallaz</t>
  </si>
  <si>
    <t>0010</t>
  </si>
  <si>
    <t>OE 25/03 Fourniture lasure</t>
  </si>
  <si>
    <t>Heuclin Antoine</t>
  </si>
  <si>
    <t>0017</t>
  </si>
  <si>
    <t>OE 25/04 Fourniture de joints</t>
  </si>
  <si>
    <t>GARCON Julien</t>
  </si>
  <si>
    <t>0016</t>
  </si>
  <si>
    <t>OE 25/05 Fabrication et pose de main courantes</t>
  </si>
  <si>
    <t>Maurice GROSJEAN</t>
  </si>
  <si>
    <t>0021</t>
  </si>
  <si>
    <t>OE 25/07 Aménagement d'un plateau de bureau</t>
  </si>
  <si>
    <t>CO Expertise</t>
  </si>
  <si>
    <t>0033</t>
  </si>
  <si>
    <t>OE 25/08 SAV lit superposés</t>
  </si>
  <si>
    <t>0036</t>
  </si>
  <si>
    <t>OE 25/09 Projet cabinet Avocat</t>
  </si>
  <si>
    <t>YL Menuiserie</t>
  </si>
  <si>
    <t>0043</t>
  </si>
  <si>
    <t>OE 25/10 Recoupe porte suite à dégât des eau</t>
  </si>
  <si>
    <t>Gerimalp</t>
  </si>
  <si>
    <t>0051</t>
  </si>
  <si>
    <t>OE 25/100 Fabrication marches d'escalier</t>
  </si>
  <si>
    <t>Laurent Eric</t>
  </si>
  <si>
    <t>0007</t>
  </si>
  <si>
    <t>OE 25/102 Reprise de porte</t>
  </si>
  <si>
    <t>0008</t>
  </si>
  <si>
    <t>OE 25/11 Fabrication bloc porte</t>
  </si>
  <si>
    <t>HM Création</t>
  </si>
  <si>
    <t>0052</t>
  </si>
  <si>
    <t>OE 25/111 Fabrication de porte de secours</t>
  </si>
  <si>
    <t>ALB BOTANIC ALBERVILLE LES JARDINERIES DU SALEVE</t>
  </si>
  <si>
    <t>0019</t>
  </si>
  <si>
    <t>OE 25/117 Fourniture et pose de fenêtre cintrée</t>
  </si>
  <si>
    <t>0005</t>
  </si>
  <si>
    <t>OE 25/12 vernissage portes</t>
  </si>
  <si>
    <t>0054</t>
  </si>
  <si>
    <t>OE 25/120 Fourniture de fenêtre</t>
  </si>
  <si>
    <t>Lavorel Bernadette</t>
  </si>
  <si>
    <t>0009</t>
  </si>
  <si>
    <t>OE 25/122 Remplacement de poteau</t>
  </si>
  <si>
    <t>0029</t>
  </si>
  <si>
    <t>OE 25/123 Fabrication bac exterieur</t>
  </si>
  <si>
    <t>Duponcel Jérome</t>
  </si>
  <si>
    <t>0024</t>
  </si>
  <si>
    <t>OE 25/124 Aménagement semi de courses</t>
  </si>
  <si>
    <t>Hureau</t>
  </si>
  <si>
    <t>0003</t>
  </si>
  <si>
    <t>OE 25/125 Pose bardage dans SDB</t>
  </si>
  <si>
    <t>Jablanczy Clément</t>
  </si>
  <si>
    <t>0031</t>
  </si>
  <si>
    <t>OE 25/126 Aménagement bureau</t>
  </si>
  <si>
    <t>Zubric Alain</t>
  </si>
  <si>
    <t>0022</t>
  </si>
  <si>
    <t>OE 25/127 Aménagement sous rampant</t>
  </si>
  <si>
    <t>Nicolas Dumont</t>
  </si>
  <si>
    <t>0023</t>
  </si>
  <si>
    <t>OE 25/128 Remplacement de porte de communication</t>
  </si>
  <si>
    <t>Delépine</t>
  </si>
  <si>
    <t>0025</t>
  </si>
  <si>
    <t>OE 25/129 Reprise de banquettes de bateau</t>
  </si>
  <si>
    <t>0026</t>
  </si>
  <si>
    <t>OE 25/13 Fabrication et pose couvre joints SDB</t>
  </si>
  <si>
    <t>0055</t>
  </si>
  <si>
    <t>OE 25/131 Pose parquet et fourniture de portes</t>
  </si>
  <si>
    <t>Perruisseau-Carrier Anne</t>
  </si>
  <si>
    <t>0027</t>
  </si>
  <si>
    <t>OE 25/133 Reprise de volet battant bois</t>
  </si>
  <si>
    <t>Boudiaf Anaïs</t>
  </si>
  <si>
    <t>0032</t>
  </si>
  <si>
    <t>OE 25/135 Fabrication CP Meynet</t>
  </si>
  <si>
    <t>0041</t>
  </si>
  <si>
    <t>OE 25/135 Fabrication tableau de bords de bateau</t>
  </si>
  <si>
    <t>0035</t>
  </si>
  <si>
    <t>OE 25/136 Fabrication CP Bornand</t>
  </si>
  <si>
    <t>0040</t>
  </si>
  <si>
    <t>OE 25/136 Fabrication de volet persiennes</t>
  </si>
  <si>
    <t>0038</t>
  </si>
  <si>
    <t>OE 25/137 Fabrication CM</t>
  </si>
  <si>
    <t>0050</t>
  </si>
  <si>
    <t>OE 25/137 Travaux sur vieille maison</t>
  </si>
  <si>
    <t>Mombert Agnès</t>
  </si>
  <si>
    <t>0039</t>
  </si>
  <si>
    <t>OE 25/138 Fabrication meuble et banquette</t>
  </si>
  <si>
    <t>Marie-Noi Santy</t>
  </si>
  <si>
    <t>0045</t>
  </si>
  <si>
    <t>OE 25/139 Reprise porte post formé</t>
  </si>
  <si>
    <t>0046</t>
  </si>
  <si>
    <t>OE 25/14 pose poignée</t>
  </si>
  <si>
    <t>0056</t>
  </si>
  <si>
    <t>OE 25/140 Aménagement local VMC</t>
  </si>
  <si>
    <t>0037</t>
  </si>
  <si>
    <t>OE 25/144 Fabrication mains courante</t>
  </si>
  <si>
    <t>De Santis Jean</t>
  </si>
  <si>
    <t>0044</t>
  </si>
  <si>
    <t>OE 25/145 Fabrication volets</t>
  </si>
  <si>
    <t>Bertrand Mauris Demauriaux</t>
  </si>
  <si>
    <t>0047</t>
  </si>
  <si>
    <t>OE 25/146 Trappes de fermeture</t>
  </si>
  <si>
    <t>Piguenet Mathieu</t>
  </si>
  <si>
    <t>0042</t>
  </si>
  <si>
    <t>OE 25/147 Reprise dessus de table et fabrication de rallonge</t>
  </si>
  <si>
    <t>Ardaine Jean marc</t>
  </si>
  <si>
    <t>0034</t>
  </si>
  <si>
    <t>OE 25/148 Aménagement sous pente</t>
  </si>
  <si>
    <t>Behague Jessica</t>
  </si>
  <si>
    <t>0048</t>
  </si>
  <si>
    <t>OE 25/149 Aménagement restaurant</t>
  </si>
  <si>
    <t>0049</t>
  </si>
  <si>
    <t>OE 25/149'1 Fabrication banquettes</t>
  </si>
  <si>
    <t>0065</t>
  </si>
  <si>
    <t>OE 25/15 Usinage plan de travail</t>
  </si>
  <si>
    <t>0058</t>
  </si>
  <si>
    <t>OE 25/150 Fourniture et pose de fenêtres pour le gite</t>
  </si>
  <si>
    <t>SCI DERAPATAPO</t>
  </si>
  <si>
    <t>0057</t>
  </si>
  <si>
    <t>OE 25/151 Fabrication meuble de cuisine</t>
  </si>
  <si>
    <t>DEPRES Frederic</t>
  </si>
  <si>
    <t>0030</t>
  </si>
  <si>
    <t>OE 25/152 Fabrication et pose de porte de communication</t>
  </si>
  <si>
    <t>LAVOREL PIENTURE</t>
  </si>
  <si>
    <t>0053</t>
  </si>
  <si>
    <t>OE 25/155 Fabrication de plans de travail en chêne</t>
  </si>
  <si>
    <t>0077</t>
  </si>
  <si>
    <t>OE 25/158 Fabrication de claustra cache chauffe eau</t>
  </si>
  <si>
    <t>Thomasson</t>
  </si>
  <si>
    <t>0060</t>
  </si>
  <si>
    <t>OE 25/159 Fabrication de dessus de table</t>
  </si>
  <si>
    <t>0063</t>
  </si>
  <si>
    <t>OE 25/16 Usinage P De T Hubout Parent</t>
  </si>
  <si>
    <t>0059</t>
  </si>
  <si>
    <t>OE 25/160 Fabrication et pose d'une cuisine</t>
  </si>
  <si>
    <t>CADS BONNEVILLE</t>
  </si>
  <si>
    <t>0064</t>
  </si>
  <si>
    <t>OE 25/161 Aménagement local commercial</t>
  </si>
  <si>
    <t>DORNIER MEDTECH</t>
  </si>
  <si>
    <t>0067</t>
  </si>
  <si>
    <t>OE 25/163  Aménagement chambre</t>
  </si>
  <si>
    <t>SCI La Ferme</t>
  </si>
  <si>
    <t>0068</t>
  </si>
  <si>
    <t>OE 25/164 Fourniture et pose de portes coulissantes</t>
  </si>
  <si>
    <t>0097</t>
  </si>
  <si>
    <t>OE 25/165 Travaux divers dans maison</t>
  </si>
  <si>
    <t>Ferreira Da costa Pauline</t>
  </si>
  <si>
    <t>0069</t>
  </si>
  <si>
    <t>OE 25/166 Fabrication façade arrière bar</t>
  </si>
  <si>
    <t>0070</t>
  </si>
  <si>
    <t>OE 25/167 Réparation fenêtre</t>
  </si>
  <si>
    <t>0082</t>
  </si>
  <si>
    <t>OE 25/168 Réparation terrasse</t>
  </si>
  <si>
    <t>BO TEC</t>
  </si>
  <si>
    <t>0072</t>
  </si>
  <si>
    <t>OE 25/169 Reprise placo</t>
  </si>
  <si>
    <t>0083</t>
  </si>
  <si>
    <t>OE 25/17 Pose cuisine Cachat Pigato</t>
  </si>
  <si>
    <t>0062</t>
  </si>
  <si>
    <t>OE 25/174 Fabrication et pose d'un meuble d'entrée</t>
  </si>
  <si>
    <t>Jérémie Riverin</t>
  </si>
  <si>
    <t>0085</t>
  </si>
  <si>
    <t>OE 25/175 Fabrication de marches d'escalier</t>
  </si>
  <si>
    <t>Fabrice Garnier</t>
  </si>
  <si>
    <t>0084</t>
  </si>
  <si>
    <t>OE 25/176 (1) Fourniture et pose de mezzanine</t>
  </si>
  <si>
    <t>Collectif des Paysans de la yaute</t>
  </si>
  <si>
    <t>0125</t>
  </si>
  <si>
    <t>OE 25/176 (2) Fourniture et pose de plancher bois</t>
  </si>
  <si>
    <t>0126</t>
  </si>
  <si>
    <t>OE 25/176 (3) Fourniture et pose d'escalier méttalique</t>
  </si>
  <si>
    <t>0128</t>
  </si>
  <si>
    <t>OE 25/176 (4) Fourniture et pose de faux plafond a dalle</t>
  </si>
  <si>
    <t>0129</t>
  </si>
  <si>
    <t>OE 25/176 (5) Fabrication et pose d'un bois pour agrandir la mezzanine</t>
  </si>
  <si>
    <t>0130</t>
  </si>
  <si>
    <t>OE 25/176 Aménagement marché de producteur</t>
  </si>
  <si>
    <t>0090</t>
  </si>
  <si>
    <t>OE 25/177 Fabrication et pose de volets persienne</t>
  </si>
  <si>
    <t>Vincent Isoré</t>
  </si>
  <si>
    <t>0089</t>
  </si>
  <si>
    <t>OE 25/179 (1) Peinture des volets</t>
  </si>
  <si>
    <t>Pallier Céline</t>
  </si>
  <si>
    <t>0145</t>
  </si>
  <si>
    <t>OE 25/179 Fabrication de volet</t>
  </si>
  <si>
    <t>0093</t>
  </si>
  <si>
    <t>OE 25/18 Reprise pose de cuisine</t>
  </si>
  <si>
    <t>0061</t>
  </si>
  <si>
    <t>OE 25/181 Fourniture et pose de menuiserie bois</t>
  </si>
  <si>
    <t>Xavière Michelot</t>
  </si>
  <si>
    <t>0095</t>
  </si>
  <si>
    <t>OE 25/19 Fabrication huisserie maison</t>
  </si>
  <si>
    <t>0086</t>
  </si>
  <si>
    <t>OE 25/20 Fabrication et pose de dressing</t>
  </si>
  <si>
    <t>Le brishoual</t>
  </si>
  <si>
    <t>0087</t>
  </si>
  <si>
    <t>OE 25/21 Usinage MDF support miroir</t>
  </si>
  <si>
    <t>0075</t>
  </si>
  <si>
    <t>OE 25/22 Pose de colonnes</t>
  </si>
  <si>
    <t>Ambiance cuisine</t>
  </si>
  <si>
    <t>0076</t>
  </si>
  <si>
    <t>OE 25/23 Fabrication caissons U 999</t>
  </si>
  <si>
    <t>0080</t>
  </si>
  <si>
    <t>OE 25/24 Reprise banque Seynod</t>
  </si>
  <si>
    <t>0088</t>
  </si>
  <si>
    <t>OE 25/25 Fabrication divers étagères</t>
  </si>
  <si>
    <t>Menuiserie Nicollet</t>
  </si>
  <si>
    <t>0092</t>
  </si>
  <si>
    <t>OE 25/26 Fabrication meuble télé</t>
  </si>
  <si>
    <t>0094</t>
  </si>
  <si>
    <t>OE 25/27 Fabrication caissons</t>
  </si>
  <si>
    <t>Menuiserie de la cochette</t>
  </si>
  <si>
    <t>0096</t>
  </si>
  <si>
    <t>OE 25/28 Fabrication marches escalier</t>
  </si>
  <si>
    <t>0098</t>
  </si>
  <si>
    <t>OE 25/29 Fabrication de vis de poignée</t>
  </si>
  <si>
    <t>0099</t>
  </si>
  <si>
    <t>OE 25/30 Reprise table de bridge</t>
  </si>
  <si>
    <t>0100</t>
  </si>
  <si>
    <t>OE 25/31 Usinage cintre</t>
  </si>
  <si>
    <t>Navet Boulou</t>
  </si>
  <si>
    <t>0101</t>
  </si>
  <si>
    <t>OE 26/00 Démontage remontage compresseur</t>
  </si>
  <si>
    <t>0107</t>
  </si>
  <si>
    <t>OE 26/01 Entretien machines</t>
  </si>
  <si>
    <t>0108</t>
  </si>
  <si>
    <t>OE 26/02 pose cuisine Thones</t>
  </si>
  <si>
    <t>0114</t>
  </si>
  <si>
    <t>OE 26/03 déchetterie</t>
  </si>
  <si>
    <t>0115</t>
  </si>
  <si>
    <t>OE 26/04 Fabrication meuble buanderie</t>
  </si>
  <si>
    <t>0118</t>
  </si>
  <si>
    <t>OE 26/05 Usinage plan de travail HI-MACS</t>
  </si>
  <si>
    <t>0119</t>
  </si>
  <si>
    <t>OE 26/06 Aménagement d'un appartement</t>
  </si>
  <si>
    <t>Kelleoglu</t>
  </si>
  <si>
    <t>0121</t>
  </si>
  <si>
    <t>OE 26/07 Aménagement d'un appartement</t>
  </si>
  <si>
    <t>Berenger</t>
  </si>
  <si>
    <t>0122</t>
  </si>
  <si>
    <t>OE 26/08 Réparation fauteuil Père Eveque</t>
  </si>
  <si>
    <t>Association Diocésaine d'Annecy</t>
  </si>
  <si>
    <t>0124</t>
  </si>
  <si>
    <t>OE 26/09 Rénovation d'une maison paroissiale</t>
  </si>
  <si>
    <t>Paroisse Saint Pierre et Paul</t>
  </si>
  <si>
    <t>0134</t>
  </si>
  <si>
    <t>OE 26/10 Fabrication meuble enceinte</t>
  </si>
  <si>
    <t>0135</t>
  </si>
  <si>
    <t>OE 26/11 Fabrication meuble Latour</t>
  </si>
  <si>
    <t>Les bois d'Olivier</t>
  </si>
  <si>
    <t>0138</t>
  </si>
  <si>
    <t>OE 26/12 Fabrication meuble bibliothèque Liesss</t>
  </si>
  <si>
    <t>0137</t>
  </si>
  <si>
    <t>OE 26/13 Fabrication etablis</t>
  </si>
  <si>
    <t>0139</t>
  </si>
  <si>
    <t>OE 26/14 Fabrication meuble enceinte</t>
  </si>
  <si>
    <t>0140</t>
  </si>
  <si>
    <t>OE 26/15 Dédouanement et livraison volets</t>
  </si>
  <si>
    <t>0144</t>
  </si>
  <si>
    <t>OE 26/16 Fabrication claustra</t>
  </si>
  <si>
    <t>0154</t>
  </si>
  <si>
    <t>OE 26/17 Pose cuisine Mauran</t>
  </si>
  <si>
    <t>0155</t>
  </si>
  <si>
    <t>OE 26/18 Pose cuisine Poujol</t>
  </si>
  <si>
    <t>0159</t>
  </si>
  <si>
    <t>OE 26/183 Fabrication de porte d'entrée</t>
  </si>
  <si>
    <t>Mareschi Alain</t>
  </si>
  <si>
    <t>0102</t>
  </si>
  <si>
    <t>OE 26/184 Fabrication et pose de gardes corps</t>
  </si>
  <si>
    <t>Collomb Claudie</t>
  </si>
  <si>
    <t>0103</t>
  </si>
  <si>
    <t>OE 26/185 Aménagement de placard sous pente</t>
  </si>
  <si>
    <t>Rohaut Adeline</t>
  </si>
  <si>
    <t>0104</t>
  </si>
  <si>
    <t>OE 26/186 Fabrication et pose de marches d'escalier</t>
  </si>
  <si>
    <t>Malcor Marc</t>
  </si>
  <si>
    <t>0105</t>
  </si>
  <si>
    <t>OE 26/187 Fabrication et pose d'une porte d'entrée en chêne</t>
  </si>
  <si>
    <t>Sophie Girod-Roux</t>
  </si>
  <si>
    <t>0109</t>
  </si>
  <si>
    <t>OE 26/188 Fabrication de façade de cuisine</t>
  </si>
  <si>
    <t>Sandrine Schuster</t>
  </si>
  <si>
    <t>0110</t>
  </si>
  <si>
    <t>OE 26/189 Fabrication CC</t>
  </si>
  <si>
    <t>SCI BP-IMMO</t>
  </si>
  <si>
    <t>0106</t>
  </si>
  <si>
    <t>OE 26/19 Fabrication de portes de com endommagé suite vandalisme</t>
  </si>
  <si>
    <t>SAMBA Pascal</t>
  </si>
  <si>
    <t>0162</t>
  </si>
  <si>
    <t>OE 26/191 Aménagement cuisine</t>
  </si>
  <si>
    <t>ETS Poncet Roger</t>
  </si>
  <si>
    <t>0111</t>
  </si>
  <si>
    <t>OE 26/192 Aménagement sous sol</t>
  </si>
  <si>
    <t>Jean-Paul OTT</t>
  </si>
  <si>
    <t>0112</t>
  </si>
  <si>
    <t>OE 26/193 Remplacement de plinthes</t>
  </si>
  <si>
    <t>0113</t>
  </si>
  <si>
    <t>OE 26/194 Fabrication porte de garge</t>
  </si>
  <si>
    <t>0147</t>
  </si>
  <si>
    <t>OE 26/196 Fabrication et pose d'une porte de cave</t>
  </si>
  <si>
    <t>SCI La ferme St Paul</t>
  </si>
  <si>
    <t>0146</t>
  </si>
  <si>
    <t>OE 26/197 Débit et usinage caissons de cuisine Goullut</t>
  </si>
  <si>
    <t>0117</t>
  </si>
  <si>
    <t>OE 26/20 Fabrication d'amenagement</t>
  </si>
  <si>
    <t>0163</t>
  </si>
  <si>
    <t>OE 26/201 Fabrication et pose de confessionnaux</t>
  </si>
  <si>
    <t>0116</t>
  </si>
  <si>
    <t>OE 26/204 Fabrication et pose d'un dressing et d'un meuble de s d b</t>
  </si>
  <si>
    <t>Bruno Palaric Catherine Apparicio</t>
  </si>
  <si>
    <t>0120</t>
  </si>
  <si>
    <t>OE 26/209 Fabrication et pose de meuble de salle de bain</t>
  </si>
  <si>
    <t>Max Martinez</t>
  </si>
  <si>
    <t>0123</t>
  </si>
  <si>
    <t>OE 26/21 Usinage gabarit</t>
  </si>
  <si>
    <t>0164</t>
  </si>
  <si>
    <t>OE 26/210 Fabrication et pose de grilles d'aération</t>
  </si>
  <si>
    <t>0148</t>
  </si>
  <si>
    <t>OE 26/210 Fabrication et pose de meuble toilette</t>
  </si>
  <si>
    <t>Crozio Laura</t>
  </si>
  <si>
    <t>0131</t>
  </si>
  <si>
    <t>OE 26/211 Fourniture et pose de trappes</t>
  </si>
  <si>
    <t>0127</t>
  </si>
  <si>
    <t>OE 26/212 Fabrication et pose d'un escalier en Douglas</t>
  </si>
  <si>
    <t>Cattet Phillipe</t>
  </si>
  <si>
    <t>0132</t>
  </si>
  <si>
    <t>OE 26/213 Fabrication et pose de volet sur mesure</t>
  </si>
  <si>
    <t>Mme Moreau et Mr Desmet</t>
  </si>
  <si>
    <t>0133</t>
  </si>
  <si>
    <t>OE 26/214 Fabrication d'établis</t>
  </si>
  <si>
    <t>Hervé MEGEVAND Marque BERTONE</t>
  </si>
  <si>
    <t>0136</t>
  </si>
  <si>
    <t>OE 26/215 Fourniture et pose de bloc portes fin de chantier</t>
  </si>
  <si>
    <t>Loic Lazera</t>
  </si>
  <si>
    <t>0141</t>
  </si>
  <si>
    <t>OE 26/216 Fabrication d'aménagement interieur</t>
  </si>
  <si>
    <t>Chatelier</t>
  </si>
  <si>
    <t>0142</t>
  </si>
  <si>
    <t>OE 26/219 Fabrication d'un ensemble de meuble pour une boulangerie</t>
  </si>
  <si>
    <t>0143</t>
  </si>
  <si>
    <t>OE 26/221 Fabrication et pose d'étagères en frêne massif dans une alcôve</t>
  </si>
  <si>
    <t>Cécile Givre</t>
  </si>
  <si>
    <t>0151</t>
  </si>
  <si>
    <t>OE 26/222 Fabrication et pose d'un meuble vasque</t>
  </si>
  <si>
    <t>0150</t>
  </si>
  <si>
    <t>OE 26/223 Fabrication et pose d'étagères en mélaminé dans une alcôve</t>
  </si>
  <si>
    <t>0152</t>
  </si>
  <si>
    <t>OE 26/224 Fabrication d'un dressing Klotz</t>
  </si>
  <si>
    <t>0153</t>
  </si>
  <si>
    <t>OE 26/226 Débit usinage placage caisson de cuisine Lachavanne</t>
  </si>
  <si>
    <t>0157</t>
  </si>
  <si>
    <t>OE 26/227 Réfection d'un plan de travail de cuisine</t>
  </si>
  <si>
    <t>Jean-François Cornachon</t>
  </si>
  <si>
    <t>0158</t>
  </si>
  <si>
    <t>OE 26/232 Aménagement d'entrée</t>
  </si>
  <si>
    <t>Bevillard Claudine</t>
  </si>
  <si>
    <t>0165</t>
  </si>
  <si>
    <t>OE 26/236 Démontage balcon et fabrication garde corps</t>
  </si>
  <si>
    <t>PALLUD Michel</t>
  </si>
  <si>
    <t>0160</t>
  </si>
  <si>
    <t>OE 26/237 Fabrication et pose de mains de courantes</t>
  </si>
  <si>
    <t>DEPRES Chantal</t>
  </si>
  <si>
    <t>0161</t>
  </si>
  <si>
    <t>Peso</t>
  </si>
  <si>
    <t>0018</t>
  </si>
  <si>
    <t>Travaux divers atelier</t>
  </si>
  <si>
    <t>0028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</si>
</sst>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[hh]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61"/>
  <sheetViews>
    <sheetView tabSelected="1" workbookViewId="0" showGridLines="true" showRowColHeaders="1">
      <selection activeCell="A2" sqref="A2:P161"/>
    </sheetView>
  </sheetViews>
  <sheetFormatPr defaultRowHeight="14.4" outlineLevelRow="0" outlineLevelCol="0"/>
  <cols>
    <col min="1" max="1" width="16.282" bestFit="true" customWidth="true" style="0"/>
    <col min="2" max="2" width="85.979" bestFit="true" customWidth="true" style="0"/>
    <col min="3" max="3" width="57.7" bestFit="true" customWidth="true" style="0"/>
    <col min="4" max="4" width="24.565" bestFit="true" customWidth="true" style="0"/>
    <col min="5" max="5" width="22.28" bestFit="true" customWidth="true" style="0"/>
    <col min="6" max="6" width="20.995" bestFit="true" customWidth="true" style="0"/>
    <col min="7" max="7" width="18.71" bestFit="true" customWidth="true" style="0"/>
    <col min="8" max="8" width="31.707" bestFit="true" customWidth="true" style="0"/>
    <col min="9" max="9" width="10.569" bestFit="true" customWidth="true" style="0"/>
    <col min="10" max="10" width="18.71" bestFit="true" customWidth="true" style="0"/>
    <col min="11" max="11" width="19.852" bestFit="true" customWidth="true" style="0"/>
    <col min="12" max="12" width="11.569" bestFit="true" customWidth="true" style="0"/>
    <col min="13" max="13" width="11.569" bestFit="true" customWidth="true" style="0"/>
    <col min="14" max="14" width="16.282" bestFit="true" customWidth="true" style="0"/>
    <col min="15" max="15" width="15.139" bestFit="true" customWidth="true" style="0"/>
    <col min="16" max="16" width="22.28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77</v>
      </c>
      <c r="B2" s="1" t="s">
        <v>16</v>
      </c>
      <c r="C2" s="1" t="s">
        <v>17</v>
      </c>
      <c r="D2" s="1"/>
      <c r="E2" s="1"/>
      <c r="F2" s="1"/>
      <c r="G2" s="1"/>
      <c r="H2" s="1"/>
      <c r="I2" s="1">
        <v>0.0</v>
      </c>
      <c r="J2" s="3">
        <f>0/86400</f>
        <v>0</v>
      </c>
      <c r="K2" s="1"/>
      <c r="L2" s="1"/>
      <c r="M2" s="1" t="b">
        <v>1</v>
      </c>
      <c r="N2" s="1"/>
      <c r="O2" s="1" t="b">
        <v>1</v>
      </c>
      <c r="P2" s="1" t="s">
        <v>18</v>
      </c>
    </row>
    <row r="3" spans="1:16">
      <c r="A3" s="1">
        <v>73</v>
      </c>
      <c r="B3" s="1" t="s">
        <v>19</v>
      </c>
      <c r="C3" s="1" t="s">
        <v>20</v>
      </c>
      <c r="D3" s="1"/>
      <c r="E3" s="1"/>
      <c r="F3" s="1"/>
      <c r="G3" s="1"/>
      <c r="H3" s="1"/>
      <c r="I3" s="1">
        <v>0.0</v>
      </c>
      <c r="J3" s="3">
        <f>0/86400</f>
        <v>0</v>
      </c>
      <c r="K3" s="1"/>
      <c r="L3" s="1"/>
      <c r="M3" s="1" t="b">
        <v>1</v>
      </c>
      <c r="N3" s="1"/>
      <c r="O3" s="1" t="b">
        <v>1</v>
      </c>
      <c r="P3" s="1" t="s">
        <v>21</v>
      </c>
    </row>
    <row r="4" spans="1:16">
      <c r="A4" s="1">
        <v>72</v>
      </c>
      <c r="B4" s="1" t="s">
        <v>22</v>
      </c>
      <c r="C4" s="1" t="s">
        <v>23</v>
      </c>
      <c r="D4" s="1"/>
      <c r="E4" s="1"/>
      <c r="F4" s="1"/>
      <c r="G4" s="1"/>
      <c r="H4" s="1"/>
      <c r="I4" s="1">
        <v>0.0</v>
      </c>
      <c r="J4" s="3">
        <f>0/86400</f>
        <v>0</v>
      </c>
      <c r="K4" s="1"/>
      <c r="L4" s="1"/>
      <c r="M4" s="1" t="b">
        <v>1</v>
      </c>
      <c r="N4" s="1"/>
      <c r="O4" s="1" t="b">
        <v>1</v>
      </c>
      <c r="P4" s="1" t="s">
        <v>24</v>
      </c>
    </row>
    <row r="5" spans="1:16">
      <c r="A5" s="1">
        <v>158</v>
      </c>
      <c r="B5" s="1" t="s">
        <v>25</v>
      </c>
      <c r="C5" s="1" t="s">
        <v>26</v>
      </c>
      <c r="D5" s="1"/>
      <c r="E5" s="1"/>
      <c r="F5" s="1"/>
      <c r="G5" s="1"/>
      <c r="H5" s="1"/>
      <c r="I5" s="1">
        <v>0.0</v>
      </c>
      <c r="J5" s="3">
        <f>0/86400</f>
        <v>0</v>
      </c>
      <c r="K5" s="1"/>
      <c r="L5" s="1"/>
      <c r="M5" s="1" t="b">
        <v>1</v>
      </c>
      <c r="N5" s="1"/>
      <c r="O5" s="1" t="b">
        <v>1</v>
      </c>
      <c r="P5" s="1" t="s">
        <v>27</v>
      </c>
    </row>
    <row r="6" spans="1:16">
      <c r="A6" s="1">
        <v>151</v>
      </c>
      <c r="B6" s="1" t="s">
        <v>28</v>
      </c>
      <c r="C6" s="1" t="s">
        <v>29</v>
      </c>
      <c r="D6" s="1"/>
      <c r="E6" s="1"/>
      <c r="F6" s="1"/>
      <c r="G6" s="1"/>
      <c r="H6" s="1"/>
      <c r="I6" s="1">
        <v>0.0</v>
      </c>
      <c r="J6" s="3">
        <f>0/86400</f>
        <v>0</v>
      </c>
      <c r="K6" s="1"/>
      <c r="L6" s="1"/>
      <c r="M6" s="1" t="b">
        <v>1</v>
      </c>
      <c r="N6" s="1"/>
      <c r="O6" s="1" t="b">
        <v>1</v>
      </c>
      <c r="P6" s="1" t="s">
        <v>30</v>
      </c>
    </row>
    <row r="7" spans="1:16">
      <c r="A7" s="1">
        <v>70</v>
      </c>
      <c r="B7" s="1" t="s">
        <v>31</v>
      </c>
      <c r="C7" s="1" t="s">
        <v>32</v>
      </c>
      <c r="D7" s="1"/>
      <c r="E7" s="1"/>
      <c r="F7" s="1"/>
      <c r="G7" s="1"/>
      <c r="H7" s="1"/>
      <c r="I7" s="1">
        <v>0.0</v>
      </c>
      <c r="J7" s="3">
        <f>0/86400</f>
        <v>0</v>
      </c>
      <c r="K7" s="1"/>
      <c r="L7" s="1"/>
      <c r="M7" s="1" t="b">
        <v>1</v>
      </c>
      <c r="N7" s="1"/>
      <c r="O7" s="1" t="b">
        <v>1</v>
      </c>
      <c r="P7" s="1" t="s">
        <v>33</v>
      </c>
    </row>
    <row r="8" spans="1:16">
      <c r="A8" s="1">
        <v>13</v>
      </c>
      <c r="B8" s="1" t="s">
        <v>34</v>
      </c>
      <c r="C8" s="1" t="s">
        <v>35</v>
      </c>
      <c r="D8" s="1"/>
      <c r="E8" s="1"/>
      <c r="F8" s="1"/>
      <c r="G8" s="1"/>
      <c r="H8" s="1"/>
      <c r="I8" s="1">
        <v>0.0</v>
      </c>
      <c r="J8" s="3">
        <f>0/86400</f>
        <v>0</v>
      </c>
      <c r="K8" s="1"/>
      <c r="L8" s="1"/>
      <c r="M8" s="1" t="b">
        <v>1</v>
      </c>
      <c r="N8" s="1"/>
      <c r="O8" s="1" t="b">
        <v>1</v>
      </c>
      <c r="P8" s="1" t="s">
        <v>36</v>
      </c>
    </row>
    <row r="9" spans="1:16">
      <c r="A9" s="1">
        <v>11</v>
      </c>
      <c r="B9" s="1" t="s">
        <v>37</v>
      </c>
      <c r="C9" s="1" t="s">
        <v>38</v>
      </c>
      <c r="D9" s="1"/>
      <c r="E9" s="1"/>
      <c r="F9" s="1"/>
      <c r="G9" s="1"/>
      <c r="H9" s="1"/>
      <c r="I9" s="1">
        <v>0.0</v>
      </c>
      <c r="J9" s="3">
        <f>0/86400</f>
        <v>0</v>
      </c>
      <c r="K9" s="1"/>
      <c r="L9" s="1"/>
      <c r="M9" s="1" t="b">
        <v>1</v>
      </c>
      <c r="N9" s="1"/>
      <c r="O9" s="1" t="b">
        <v>1</v>
      </c>
      <c r="P9" s="1" t="s">
        <v>39</v>
      </c>
    </row>
    <row r="10" spans="1:16">
      <c r="A10" s="1">
        <v>10</v>
      </c>
      <c r="B10" s="1" t="s">
        <v>40</v>
      </c>
      <c r="C10" s="1" t="s">
        <v>38</v>
      </c>
      <c r="D10" s="1"/>
      <c r="E10" s="1"/>
      <c r="F10" s="1"/>
      <c r="G10" s="1"/>
      <c r="H10" s="1"/>
      <c r="I10" s="1">
        <v>9288.0</v>
      </c>
      <c r="J10" s="3">
        <f>280800/86400</f>
        <v>3.25</v>
      </c>
      <c r="K10" s="1"/>
      <c r="L10" s="1"/>
      <c r="M10" s="1" t="b">
        <v>1</v>
      </c>
      <c r="N10" s="1"/>
      <c r="O10" s="1" t="b">
        <v>1</v>
      </c>
      <c r="P10" s="1" t="s">
        <v>41</v>
      </c>
    </row>
    <row r="11" spans="1:16">
      <c r="A11" s="1">
        <v>14</v>
      </c>
      <c r="B11" s="1" t="s">
        <v>42</v>
      </c>
      <c r="C11" s="1" t="s">
        <v>43</v>
      </c>
      <c r="D11" s="1"/>
      <c r="E11" s="1"/>
      <c r="F11" s="1"/>
      <c r="G11" s="1"/>
      <c r="H11" s="1"/>
      <c r="I11" s="1">
        <v>0.0</v>
      </c>
      <c r="J11" s="3">
        <f>226800/86400</f>
        <v>2.625</v>
      </c>
      <c r="K11" s="1"/>
      <c r="L11" s="1"/>
      <c r="M11" s="1" t="b">
        <v>1</v>
      </c>
      <c r="N11" s="1"/>
      <c r="O11" s="1" t="b">
        <v>1</v>
      </c>
      <c r="P11" s="1" t="s">
        <v>44</v>
      </c>
    </row>
    <row r="12" spans="1:16">
      <c r="A12" s="1">
        <v>3</v>
      </c>
      <c r="B12" s="1" t="s">
        <v>45</v>
      </c>
      <c r="C12" s="1" t="s">
        <v>46</v>
      </c>
      <c r="D12" s="1"/>
      <c r="E12" s="1"/>
      <c r="F12" s="1"/>
      <c r="G12" s="1"/>
      <c r="H12" s="1"/>
      <c r="I12" s="1">
        <v>0.0</v>
      </c>
      <c r="J12" s="3">
        <f>0/86400</f>
        <v>0</v>
      </c>
      <c r="K12" s="1"/>
      <c r="L12" s="1"/>
      <c r="M12" s="1" t="b">
        <v>1</v>
      </c>
      <c r="N12" s="1"/>
      <c r="O12" s="1" t="b">
        <v>1</v>
      </c>
      <c r="P12" s="1" t="s">
        <v>47</v>
      </c>
    </row>
    <row r="13" spans="1:16">
      <c r="A13" s="1">
        <v>90</v>
      </c>
      <c r="B13" s="1" t="s">
        <v>48</v>
      </c>
      <c r="C13" s="1" t="s">
        <v>38</v>
      </c>
      <c r="D13" s="1"/>
      <c r="E13" s="1"/>
      <c r="F13" s="1"/>
      <c r="G13" s="1"/>
      <c r="H13" s="1"/>
      <c r="I13" s="1">
        <v>2788.0</v>
      </c>
      <c r="J13" s="3">
        <f>0/86400</f>
        <v>0</v>
      </c>
      <c r="K13" s="1"/>
      <c r="L13" s="1"/>
      <c r="M13" s="1" t="b">
        <v>1</v>
      </c>
      <c r="N13" s="1"/>
      <c r="O13" s="1" t="b">
        <v>1</v>
      </c>
      <c r="P13" s="1" t="s">
        <v>49</v>
      </c>
    </row>
    <row r="14" spans="1:16">
      <c r="A14" s="1">
        <v>5</v>
      </c>
      <c r="B14" s="1" t="s">
        <v>50</v>
      </c>
      <c r="C14" s="1" t="s">
        <v>32</v>
      </c>
      <c r="D14" s="1"/>
      <c r="E14" s="1"/>
      <c r="F14" s="1"/>
      <c r="G14" s="1"/>
      <c r="H14" s="1"/>
      <c r="I14" s="1">
        <v>0.0</v>
      </c>
      <c r="J14" s="3">
        <f>0/86400</f>
        <v>0</v>
      </c>
      <c r="K14" s="1"/>
      <c r="L14" s="1"/>
      <c r="M14" s="1" t="b">
        <v>1</v>
      </c>
      <c r="N14" s="1"/>
      <c r="O14" s="1" t="b">
        <v>1</v>
      </c>
      <c r="P14" s="1" t="s">
        <v>51</v>
      </c>
    </row>
    <row r="15" spans="1:16">
      <c r="A15" s="1">
        <v>19</v>
      </c>
      <c r="B15" s="1" t="s">
        <v>50</v>
      </c>
      <c r="C15" s="1" t="s">
        <v>32</v>
      </c>
      <c r="D15" s="1"/>
      <c r="E15" s="1"/>
      <c r="F15" s="1"/>
      <c r="G15" s="1"/>
      <c r="H15" s="1"/>
      <c r="I15" s="1">
        <v>0.0</v>
      </c>
      <c r="J15" s="3">
        <f>0/86400</f>
        <v>0</v>
      </c>
      <c r="K15" s="1"/>
      <c r="L15" s="1"/>
      <c r="M15" s="1" t="b">
        <v>1</v>
      </c>
      <c r="N15" s="1"/>
      <c r="O15" s="1" t="b">
        <v>1</v>
      </c>
      <c r="P15" s="1" t="s">
        <v>52</v>
      </c>
    </row>
    <row r="16" spans="1:16">
      <c r="A16" s="1">
        <v>12</v>
      </c>
      <c r="B16" s="1" t="s">
        <v>53</v>
      </c>
      <c r="C16" s="1" t="s">
        <v>32</v>
      </c>
      <c r="D16" s="1"/>
      <c r="E16" s="1"/>
      <c r="F16" s="1"/>
      <c r="G16" s="1"/>
      <c r="H16" s="1"/>
      <c r="I16" s="1">
        <v>0.0</v>
      </c>
      <c r="J16" s="3">
        <f>0/86400</f>
        <v>0</v>
      </c>
      <c r="K16" s="1"/>
      <c r="L16" s="1"/>
      <c r="M16" s="1" t="b">
        <v>1</v>
      </c>
      <c r="N16" s="1"/>
      <c r="O16" s="1" t="b">
        <v>1</v>
      </c>
      <c r="P16" s="1" t="s">
        <v>54</v>
      </c>
    </row>
    <row r="17" spans="1:16">
      <c r="A17" s="1">
        <v>9</v>
      </c>
      <c r="B17" s="1" t="s">
        <v>55</v>
      </c>
      <c r="C17" s="1" t="s">
        <v>56</v>
      </c>
      <c r="D17" s="1"/>
      <c r="E17" s="1"/>
      <c r="F17" s="1"/>
      <c r="G17" s="1"/>
      <c r="H17" s="1"/>
      <c r="I17" s="1">
        <v>0.0</v>
      </c>
      <c r="J17" s="3">
        <f>0/86400</f>
        <v>0</v>
      </c>
      <c r="K17" s="1"/>
      <c r="L17" s="1"/>
      <c r="M17" s="1" t="b">
        <v>1</v>
      </c>
      <c r="N17" s="1"/>
      <c r="O17" s="1" t="b">
        <v>1</v>
      </c>
      <c r="P17" s="1" t="s">
        <v>57</v>
      </c>
    </row>
    <row r="18" spans="1:16">
      <c r="A18" s="1">
        <v>16</v>
      </c>
      <c r="B18" s="1" t="s">
        <v>58</v>
      </c>
      <c r="C18" s="1" t="s">
        <v>59</v>
      </c>
      <c r="D18" s="1"/>
      <c r="E18" s="1"/>
      <c r="F18" s="1"/>
      <c r="G18" s="1"/>
      <c r="H18" s="1"/>
      <c r="I18" s="1">
        <v>0.0</v>
      </c>
      <c r="J18" s="3">
        <f>0/86400</f>
        <v>0</v>
      </c>
      <c r="K18" s="1"/>
      <c r="L18" s="1"/>
      <c r="M18" s="1" t="b">
        <v>1</v>
      </c>
      <c r="N18" s="1"/>
      <c r="O18" s="1" t="b">
        <v>1</v>
      </c>
      <c r="P18" s="1" t="s">
        <v>60</v>
      </c>
    </row>
    <row r="19" spans="1:16">
      <c r="A19" s="1">
        <v>15</v>
      </c>
      <c r="B19" s="1" t="s">
        <v>61</v>
      </c>
      <c r="C19" s="1" t="s">
        <v>62</v>
      </c>
      <c r="D19" s="1"/>
      <c r="E19" s="1"/>
      <c r="F19" s="1"/>
      <c r="G19" s="1"/>
      <c r="H19" s="1"/>
      <c r="I19" s="1">
        <v>0.0</v>
      </c>
      <c r="J19" s="3">
        <f>0/86400</f>
        <v>0</v>
      </c>
      <c r="K19" s="1"/>
      <c r="L19" s="1"/>
      <c r="M19" s="1" t="b">
        <v>1</v>
      </c>
      <c r="N19" s="1"/>
      <c r="O19" s="1" t="b">
        <v>1</v>
      </c>
      <c r="P19" s="1" t="s">
        <v>63</v>
      </c>
    </row>
    <row r="20" spans="1:16">
      <c r="A20" s="1">
        <v>20</v>
      </c>
      <c r="B20" s="1" t="s">
        <v>64</v>
      </c>
      <c r="C20" s="1" t="s">
        <v>65</v>
      </c>
      <c r="D20" s="1"/>
      <c r="E20" s="1"/>
      <c r="F20" s="1"/>
      <c r="G20" s="1"/>
      <c r="H20" s="1"/>
      <c r="I20" s="1">
        <v>0.0</v>
      </c>
      <c r="J20" s="3">
        <f>0/86400</f>
        <v>0</v>
      </c>
      <c r="K20" s="1"/>
      <c r="L20" s="1"/>
      <c r="M20" s="1" t="b">
        <v>1</v>
      </c>
      <c r="N20" s="1"/>
      <c r="O20" s="1" t="b">
        <v>1</v>
      </c>
      <c r="P20" s="1" t="s">
        <v>66</v>
      </c>
    </row>
    <row r="21" spans="1:16">
      <c r="A21" s="1">
        <v>32</v>
      </c>
      <c r="B21" s="1" t="s">
        <v>67</v>
      </c>
      <c r="C21" s="1" t="s">
        <v>68</v>
      </c>
      <c r="D21" s="1"/>
      <c r="E21" s="1"/>
      <c r="F21" s="1"/>
      <c r="G21" s="1"/>
      <c r="H21" s="1"/>
      <c r="I21" s="1">
        <v>0.0</v>
      </c>
      <c r="J21" s="3">
        <f>0/86400</f>
        <v>0</v>
      </c>
      <c r="K21" s="1"/>
      <c r="L21" s="1"/>
      <c r="M21" s="1" t="b">
        <v>1</v>
      </c>
      <c r="N21" s="1"/>
      <c r="O21" s="1" t="b">
        <v>1</v>
      </c>
      <c r="P21" s="1" t="s">
        <v>69</v>
      </c>
    </row>
    <row r="22" spans="1:16">
      <c r="A22" s="1">
        <v>35</v>
      </c>
      <c r="B22" s="1" t="s">
        <v>70</v>
      </c>
      <c r="C22" s="1" t="s">
        <v>38</v>
      </c>
      <c r="D22" s="1"/>
      <c r="E22" s="1"/>
      <c r="F22" s="1"/>
      <c r="G22" s="1"/>
      <c r="H22" s="1"/>
      <c r="I22" s="1">
        <v>0.0</v>
      </c>
      <c r="J22" s="3">
        <f>0/86400</f>
        <v>0</v>
      </c>
      <c r="K22" s="1"/>
      <c r="L22" s="1"/>
      <c r="M22" s="1" t="b">
        <v>1</v>
      </c>
      <c r="N22" s="1"/>
      <c r="O22" s="1" t="b">
        <v>1</v>
      </c>
      <c r="P22" s="1" t="s">
        <v>71</v>
      </c>
    </row>
    <row r="23" spans="1:16">
      <c r="A23" s="1">
        <v>42</v>
      </c>
      <c r="B23" s="1" t="s">
        <v>72</v>
      </c>
      <c r="C23" s="1" t="s">
        <v>73</v>
      </c>
      <c r="D23" s="1"/>
      <c r="E23" s="1"/>
      <c r="F23" s="1"/>
      <c r="G23" s="1"/>
      <c r="H23" s="1"/>
      <c r="I23" s="1">
        <v>0.0</v>
      </c>
      <c r="J23" s="3">
        <f>0/86400</f>
        <v>0</v>
      </c>
      <c r="K23" s="1"/>
      <c r="L23" s="1"/>
      <c r="M23" s="1" t="b">
        <v>1</v>
      </c>
      <c r="N23" s="1"/>
      <c r="O23" s="1" t="b">
        <v>1</v>
      </c>
      <c r="P23" s="1" t="s">
        <v>74</v>
      </c>
    </row>
    <row r="24" spans="1:16">
      <c r="A24" s="1">
        <v>50</v>
      </c>
      <c r="B24" s="1" t="s">
        <v>75</v>
      </c>
      <c r="C24" s="1" t="s">
        <v>76</v>
      </c>
      <c r="D24" s="1"/>
      <c r="E24" s="1"/>
      <c r="F24" s="1"/>
      <c r="G24" s="1"/>
      <c r="H24" s="1"/>
      <c r="I24" s="1">
        <v>3500.0</v>
      </c>
      <c r="J24" s="3">
        <f>0/86400</f>
        <v>0</v>
      </c>
      <c r="K24" s="1"/>
      <c r="L24" s="1"/>
      <c r="M24" s="1" t="b">
        <v>1</v>
      </c>
      <c r="N24" s="1"/>
      <c r="O24" s="1" t="b">
        <v>1</v>
      </c>
      <c r="P24" s="1" t="s">
        <v>77</v>
      </c>
    </row>
    <row r="25" spans="1:16">
      <c r="A25" s="1">
        <v>6</v>
      </c>
      <c r="B25" s="1" t="s">
        <v>78</v>
      </c>
      <c r="C25" s="1" t="s">
        <v>79</v>
      </c>
      <c r="D25" s="1"/>
      <c r="E25" s="1"/>
      <c r="F25" s="1"/>
      <c r="G25" s="1"/>
      <c r="H25" s="1"/>
      <c r="I25" s="1">
        <v>0.0</v>
      </c>
      <c r="J25" s="3">
        <f>0/86400</f>
        <v>0</v>
      </c>
      <c r="K25" s="1"/>
      <c r="L25" s="1"/>
      <c r="M25" s="1" t="b">
        <v>1</v>
      </c>
      <c r="N25" s="1"/>
      <c r="O25" s="1" t="b">
        <v>1</v>
      </c>
      <c r="P25" s="1" t="s">
        <v>80</v>
      </c>
    </row>
    <row r="26" spans="1:16">
      <c r="A26" s="1">
        <v>7</v>
      </c>
      <c r="B26" s="1" t="s">
        <v>81</v>
      </c>
      <c r="C26" s="1" t="s">
        <v>79</v>
      </c>
      <c r="D26" s="1"/>
      <c r="E26" s="1"/>
      <c r="F26" s="1"/>
      <c r="G26" s="1"/>
      <c r="H26" s="1"/>
      <c r="I26" s="1">
        <v>0.0</v>
      </c>
      <c r="J26" s="3">
        <f>0/86400</f>
        <v>0</v>
      </c>
      <c r="K26" s="1"/>
      <c r="L26" s="1"/>
      <c r="M26" s="1" t="b">
        <v>1</v>
      </c>
      <c r="N26" s="1"/>
      <c r="O26" s="1" t="b">
        <v>1</v>
      </c>
      <c r="P26" s="1" t="s">
        <v>82</v>
      </c>
    </row>
    <row r="27" spans="1:16">
      <c r="A27" s="1">
        <v>51</v>
      </c>
      <c r="B27" s="1" t="s">
        <v>83</v>
      </c>
      <c r="C27" s="1" t="s">
        <v>84</v>
      </c>
      <c r="D27" s="1"/>
      <c r="E27" s="1"/>
      <c r="F27" s="1"/>
      <c r="G27" s="1"/>
      <c r="H27" s="1"/>
      <c r="I27" s="1">
        <v>0.0</v>
      </c>
      <c r="J27" s="3">
        <f>0/86400</f>
        <v>0</v>
      </c>
      <c r="K27" s="1"/>
      <c r="L27" s="1"/>
      <c r="M27" s="1" t="b">
        <v>1</v>
      </c>
      <c r="N27" s="1"/>
      <c r="O27" s="1" t="b">
        <v>1</v>
      </c>
      <c r="P27" s="1" t="s">
        <v>85</v>
      </c>
    </row>
    <row r="28" spans="1:16">
      <c r="A28" s="1">
        <v>18</v>
      </c>
      <c r="B28" s="1" t="s">
        <v>86</v>
      </c>
      <c r="C28" s="1" t="s">
        <v>87</v>
      </c>
      <c r="D28" s="1"/>
      <c r="E28" s="1"/>
      <c r="F28" s="1"/>
      <c r="G28" s="1"/>
      <c r="H28" s="1"/>
      <c r="I28" s="1">
        <v>2958.0</v>
      </c>
      <c r="J28" s="3">
        <f>84600/86400</f>
        <v>0.97916666666667</v>
      </c>
      <c r="K28" s="1"/>
      <c r="L28" s="1"/>
      <c r="M28" s="1" t="b">
        <v>1</v>
      </c>
      <c r="N28" s="1"/>
      <c r="O28" s="1" t="b">
        <v>1</v>
      </c>
      <c r="P28" s="1" t="s">
        <v>88</v>
      </c>
    </row>
    <row r="29" spans="1:16">
      <c r="A29" s="1">
        <v>4</v>
      </c>
      <c r="B29" s="1" t="s">
        <v>89</v>
      </c>
      <c r="C29" s="1" t="s">
        <v>46</v>
      </c>
      <c r="D29" s="1"/>
      <c r="E29" s="1"/>
      <c r="F29" s="1"/>
      <c r="G29" s="1"/>
      <c r="H29" s="1"/>
      <c r="I29" s="1">
        <v>0.0</v>
      </c>
      <c r="J29" s="3">
        <f>0/86400</f>
        <v>0</v>
      </c>
      <c r="K29" s="1"/>
      <c r="L29" s="1"/>
      <c r="M29" s="1" t="b">
        <v>1</v>
      </c>
      <c r="N29" s="1"/>
      <c r="O29" s="1" t="b">
        <v>1</v>
      </c>
      <c r="P29" s="1" t="s">
        <v>90</v>
      </c>
    </row>
    <row r="30" spans="1:16">
      <c r="A30" s="1">
        <v>53</v>
      </c>
      <c r="B30" s="1" t="s">
        <v>91</v>
      </c>
      <c r="C30" s="1" t="s">
        <v>43</v>
      </c>
      <c r="D30" s="1"/>
      <c r="E30" s="1"/>
      <c r="F30" s="1"/>
      <c r="G30" s="1"/>
      <c r="H30" s="1"/>
      <c r="I30" s="1">
        <v>0.0</v>
      </c>
      <c r="J30" s="3">
        <f>0/86400</f>
        <v>0</v>
      </c>
      <c r="K30" s="1"/>
      <c r="L30" s="1"/>
      <c r="M30" s="1" t="b">
        <v>1</v>
      </c>
      <c r="N30" s="1"/>
      <c r="O30" s="1" t="b">
        <v>1</v>
      </c>
      <c r="P30" s="1" t="s">
        <v>92</v>
      </c>
    </row>
    <row r="31" spans="1:16">
      <c r="A31" s="1">
        <v>8</v>
      </c>
      <c r="B31" s="1" t="s">
        <v>93</v>
      </c>
      <c r="C31" s="1" t="s">
        <v>94</v>
      </c>
      <c r="D31" s="1"/>
      <c r="E31" s="1"/>
      <c r="F31" s="1"/>
      <c r="G31" s="1"/>
      <c r="H31" s="1"/>
      <c r="I31" s="1">
        <v>0.0</v>
      </c>
      <c r="J31" s="3">
        <f>0/86400</f>
        <v>0</v>
      </c>
      <c r="K31" s="1"/>
      <c r="L31" s="1"/>
      <c r="M31" s="1" t="b">
        <v>1</v>
      </c>
      <c r="N31" s="1"/>
      <c r="O31" s="1" t="b">
        <v>1</v>
      </c>
      <c r="P31" s="1" t="s">
        <v>95</v>
      </c>
    </row>
    <row r="32" spans="1:16">
      <c r="A32" s="1">
        <v>28</v>
      </c>
      <c r="B32" s="1" t="s">
        <v>96</v>
      </c>
      <c r="C32" s="1" t="s">
        <v>87</v>
      </c>
      <c r="D32" s="1"/>
      <c r="E32" s="1"/>
      <c r="F32" s="1"/>
      <c r="G32" s="1"/>
      <c r="H32" s="1"/>
      <c r="I32" s="1">
        <v>0.0</v>
      </c>
      <c r="J32" s="3">
        <f>41400/86400</f>
        <v>0.47916666666667</v>
      </c>
      <c r="K32" s="1"/>
      <c r="L32" s="1"/>
      <c r="M32" s="1" t="b">
        <v>1</v>
      </c>
      <c r="N32" s="1"/>
      <c r="O32" s="1" t="b">
        <v>1</v>
      </c>
      <c r="P32" s="1" t="s">
        <v>97</v>
      </c>
    </row>
    <row r="33" spans="1:16">
      <c r="A33" s="1">
        <v>23</v>
      </c>
      <c r="B33" s="1" t="s">
        <v>98</v>
      </c>
      <c r="C33" s="1" t="s">
        <v>99</v>
      </c>
      <c r="D33" s="1"/>
      <c r="E33" s="1"/>
      <c r="F33" s="1"/>
      <c r="G33" s="1"/>
      <c r="H33" s="1"/>
      <c r="I33" s="1">
        <v>0.0</v>
      </c>
      <c r="J33" s="3">
        <f>0/86400</f>
        <v>0</v>
      </c>
      <c r="K33" s="1"/>
      <c r="L33" s="1"/>
      <c r="M33" s="1" t="b">
        <v>1</v>
      </c>
      <c r="N33" s="1"/>
      <c r="O33" s="1" t="b">
        <v>1</v>
      </c>
      <c r="P33" s="1" t="s">
        <v>100</v>
      </c>
    </row>
    <row r="34" spans="1:16">
      <c r="A34" s="1">
        <v>2</v>
      </c>
      <c r="B34" s="1" t="s">
        <v>101</v>
      </c>
      <c r="C34" s="1" t="s">
        <v>102</v>
      </c>
      <c r="D34" s="1"/>
      <c r="E34" s="2">
        <v>45695.0</v>
      </c>
      <c r="F34" s="1"/>
      <c r="G34" s="2">
        <v>45744.999988426</v>
      </c>
      <c r="H34" s="1"/>
      <c r="I34" s="1">
        <v>9291.9</v>
      </c>
      <c r="J34" s="3">
        <f>205200/86400</f>
        <v>2.375</v>
      </c>
      <c r="K34" s="1"/>
      <c r="L34" s="1"/>
      <c r="M34" s="1" t="b">
        <v>1</v>
      </c>
      <c r="N34" s="1"/>
      <c r="O34" s="1" t="b">
        <v>1</v>
      </c>
      <c r="P34" s="1" t="s">
        <v>103</v>
      </c>
    </row>
    <row r="35" spans="1:16">
      <c r="A35" s="1">
        <v>30</v>
      </c>
      <c r="B35" s="1" t="s">
        <v>104</v>
      </c>
      <c r="C35" s="1" t="s">
        <v>105</v>
      </c>
      <c r="D35" s="1"/>
      <c r="E35" s="1"/>
      <c r="F35" s="1"/>
      <c r="G35" s="1"/>
      <c r="H35" s="1"/>
      <c r="I35" s="1">
        <v>0.0</v>
      </c>
      <c r="J35" s="3">
        <f>0/86400</f>
        <v>0</v>
      </c>
      <c r="K35" s="1"/>
      <c r="L35" s="1"/>
      <c r="M35" s="1" t="b">
        <v>1</v>
      </c>
      <c r="N35" s="1"/>
      <c r="O35" s="1" t="b">
        <v>1</v>
      </c>
      <c r="P35" s="1" t="s">
        <v>106</v>
      </c>
    </row>
    <row r="36" spans="1:16">
      <c r="A36" s="1">
        <v>21</v>
      </c>
      <c r="B36" s="1" t="s">
        <v>107</v>
      </c>
      <c r="C36" s="1" t="s">
        <v>108</v>
      </c>
      <c r="D36" s="1"/>
      <c r="E36" s="1"/>
      <c r="F36" s="1"/>
      <c r="G36" s="1"/>
      <c r="H36" s="1"/>
      <c r="I36" s="1">
        <v>0.0</v>
      </c>
      <c r="J36" s="3">
        <f>0/86400</f>
        <v>0</v>
      </c>
      <c r="K36" s="1"/>
      <c r="L36" s="1"/>
      <c r="M36" s="1" t="b">
        <v>1</v>
      </c>
      <c r="N36" s="1"/>
      <c r="O36" s="1" t="b">
        <v>1</v>
      </c>
      <c r="P36" s="1" t="s">
        <v>109</v>
      </c>
    </row>
    <row r="37" spans="1:16">
      <c r="A37" s="1">
        <v>22</v>
      </c>
      <c r="B37" s="1" t="s">
        <v>110</v>
      </c>
      <c r="C37" s="1" t="s">
        <v>111</v>
      </c>
      <c r="D37" s="1"/>
      <c r="E37" s="1"/>
      <c r="F37" s="1"/>
      <c r="G37" s="1"/>
      <c r="H37" s="1"/>
      <c r="I37" s="1">
        <v>0.0</v>
      </c>
      <c r="J37" s="3">
        <f>0/86400</f>
        <v>0</v>
      </c>
      <c r="K37" s="1"/>
      <c r="L37" s="1"/>
      <c r="M37" s="1" t="b">
        <v>1</v>
      </c>
      <c r="N37" s="1"/>
      <c r="O37" s="1" t="b">
        <v>1</v>
      </c>
      <c r="P37" s="1" t="s">
        <v>112</v>
      </c>
    </row>
    <row r="38" spans="1:16">
      <c r="A38" s="1">
        <v>24</v>
      </c>
      <c r="B38" s="1" t="s">
        <v>113</v>
      </c>
      <c r="C38" s="1" t="s">
        <v>114</v>
      </c>
      <c r="D38" s="1"/>
      <c r="E38" s="1"/>
      <c r="F38" s="1"/>
      <c r="G38" s="1"/>
      <c r="H38" s="1"/>
      <c r="I38" s="1">
        <v>0.0</v>
      </c>
      <c r="J38" s="3">
        <f>0/86400</f>
        <v>0</v>
      </c>
      <c r="K38" s="1"/>
      <c r="L38" s="1"/>
      <c r="M38" s="1" t="b">
        <v>1</v>
      </c>
      <c r="N38" s="1"/>
      <c r="O38" s="1" t="b">
        <v>1</v>
      </c>
      <c r="P38" s="1" t="s">
        <v>115</v>
      </c>
    </row>
    <row r="39" spans="1:16">
      <c r="A39" s="1">
        <v>25</v>
      </c>
      <c r="B39" s="1" t="s">
        <v>116</v>
      </c>
      <c r="C39" s="1" t="s">
        <v>102</v>
      </c>
      <c r="D39" s="1"/>
      <c r="E39" s="1"/>
      <c r="F39" s="1"/>
      <c r="G39" s="1"/>
      <c r="H39" s="1"/>
      <c r="I39" s="1">
        <v>0.0</v>
      </c>
      <c r="J39" s="3">
        <f>0/86400</f>
        <v>0</v>
      </c>
      <c r="K39" s="1"/>
      <c r="L39" s="1"/>
      <c r="M39" s="1" t="b">
        <v>1</v>
      </c>
      <c r="N39" s="1"/>
      <c r="O39" s="1" t="b">
        <v>1</v>
      </c>
      <c r="P39" s="1" t="s">
        <v>117</v>
      </c>
    </row>
    <row r="40" spans="1:16">
      <c r="A40" s="1">
        <v>54</v>
      </c>
      <c r="B40" s="1" t="s">
        <v>118</v>
      </c>
      <c r="C40" s="1" t="s">
        <v>43</v>
      </c>
      <c r="D40" s="1"/>
      <c r="E40" s="1"/>
      <c r="F40" s="1"/>
      <c r="G40" s="1"/>
      <c r="H40" s="1"/>
      <c r="I40" s="1">
        <v>0.0</v>
      </c>
      <c r="J40" s="3">
        <f>0/86400</f>
        <v>0</v>
      </c>
      <c r="K40" s="1"/>
      <c r="L40" s="1"/>
      <c r="M40" s="1" t="b">
        <v>1</v>
      </c>
      <c r="N40" s="1"/>
      <c r="O40" s="1" t="b">
        <v>1</v>
      </c>
      <c r="P40" s="1" t="s">
        <v>119</v>
      </c>
    </row>
    <row r="41" spans="1:16">
      <c r="A41" s="1">
        <v>26</v>
      </c>
      <c r="B41" s="1" t="s">
        <v>120</v>
      </c>
      <c r="C41" s="1" t="s">
        <v>121</v>
      </c>
      <c r="D41" s="1"/>
      <c r="E41" s="1"/>
      <c r="F41" s="1"/>
      <c r="G41" s="1"/>
      <c r="H41" s="1"/>
      <c r="I41" s="1">
        <v>0.0</v>
      </c>
      <c r="J41" s="3">
        <f>0/86400</f>
        <v>0</v>
      </c>
      <c r="K41" s="1"/>
      <c r="L41" s="1"/>
      <c r="M41" s="1" t="b">
        <v>1</v>
      </c>
      <c r="N41" s="1"/>
      <c r="O41" s="1" t="b">
        <v>1</v>
      </c>
      <c r="P41" s="1" t="s">
        <v>122</v>
      </c>
    </row>
    <row r="42" spans="1:16">
      <c r="A42" s="1">
        <v>31</v>
      </c>
      <c r="B42" s="1" t="s">
        <v>123</v>
      </c>
      <c r="C42" s="1" t="s">
        <v>124</v>
      </c>
      <c r="D42" s="1"/>
      <c r="E42" s="1"/>
      <c r="F42" s="1"/>
      <c r="G42" s="1"/>
      <c r="H42" s="1"/>
      <c r="I42" s="1">
        <v>0.0</v>
      </c>
      <c r="J42" s="3">
        <f>0/86400</f>
        <v>0</v>
      </c>
      <c r="K42" s="1"/>
      <c r="L42" s="1"/>
      <c r="M42" s="1" t="b">
        <v>1</v>
      </c>
      <c r="N42" s="1"/>
      <c r="O42" s="1" t="b">
        <v>1</v>
      </c>
      <c r="P42" s="1" t="s">
        <v>125</v>
      </c>
    </row>
    <row r="43" spans="1:16">
      <c r="A43" s="1">
        <v>40</v>
      </c>
      <c r="B43" s="1" t="s">
        <v>126</v>
      </c>
      <c r="C43" s="1" t="s">
        <v>102</v>
      </c>
      <c r="D43" s="1"/>
      <c r="E43" s="1"/>
      <c r="F43" s="1"/>
      <c r="G43" s="1"/>
      <c r="H43" s="1"/>
      <c r="I43" s="1">
        <v>0.0</v>
      </c>
      <c r="J43" s="3">
        <f>0/86400</f>
        <v>0</v>
      </c>
      <c r="K43" s="1"/>
      <c r="L43" s="1"/>
      <c r="M43" s="1" t="b">
        <v>1</v>
      </c>
      <c r="N43" s="1"/>
      <c r="O43" s="1" t="b">
        <v>1</v>
      </c>
      <c r="P43" s="1" t="s">
        <v>127</v>
      </c>
    </row>
    <row r="44" spans="1:16">
      <c r="A44" s="1">
        <v>34</v>
      </c>
      <c r="B44" s="1" t="s">
        <v>128</v>
      </c>
      <c r="C44" s="1" t="s">
        <v>102</v>
      </c>
      <c r="D44" s="1"/>
      <c r="E44" s="1"/>
      <c r="F44" s="1"/>
      <c r="G44" s="1"/>
      <c r="H44" s="1"/>
      <c r="I44" s="1">
        <v>0.0</v>
      </c>
      <c r="J44" s="3">
        <f>0/86400</f>
        <v>0</v>
      </c>
      <c r="K44" s="1"/>
      <c r="L44" s="1"/>
      <c r="M44" s="1" t="b">
        <v>1</v>
      </c>
      <c r="N44" s="1"/>
      <c r="O44" s="1" t="b">
        <v>1</v>
      </c>
      <c r="P44" s="1" t="s">
        <v>129</v>
      </c>
    </row>
    <row r="45" spans="1:16">
      <c r="A45" s="1">
        <v>39</v>
      </c>
      <c r="B45" s="1" t="s">
        <v>130</v>
      </c>
      <c r="C45" s="1" t="s">
        <v>102</v>
      </c>
      <c r="D45" s="1"/>
      <c r="E45" s="1"/>
      <c r="F45" s="1"/>
      <c r="G45" s="1"/>
      <c r="H45" s="1"/>
      <c r="I45" s="1">
        <v>0.0</v>
      </c>
      <c r="J45" s="3">
        <f>0/86400</f>
        <v>0</v>
      </c>
      <c r="K45" s="1"/>
      <c r="L45" s="1"/>
      <c r="M45" s="1" t="b">
        <v>1</v>
      </c>
      <c r="N45" s="1"/>
      <c r="O45" s="1" t="b">
        <v>1</v>
      </c>
      <c r="P45" s="1" t="s">
        <v>131</v>
      </c>
    </row>
    <row r="46" spans="1:16">
      <c r="A46" s="1">
        <v>37</v>
      </c>
      <c r="B46" s="1" t="s">
        <v>132</v>
      </c>
      <c r="C46" s="1" t="s">
        <v>73</v>
      </c>
      <c r="D46" s="1"/>
      <c r="E46" s="1"/>
      <c r="F46" s="1"/>
      <c r="G46" s="1"/>
      <c r="H46" s="1"/>
      <c r="I46" s="1">
        <v>0.0</v>
      </c>
      <c r="J46" s="3">
        <f>0/86400</f>
        <v>0</v>
      </c>
      <c r="K46" s="1"/>
      <c r="L46" s="1"/>
      <c r="M46" s="1" t="b">
        <v>1</v>
      </c>
      <c r="N46" s="1"/>
      <c r="O46" s="1" t="b">
        <v>1</v>
      </c>
      <c r="P46" s="1" t="s">
        <v>133</v>
      </c>
    </row>
    <row r="47" spans="1:16">
      <c r="A47" s="1">
        <v>49</v>
      </c>
      <c r="B47" s="1" t="s">
        <v>134</v>
      </c>
      <c r="C47" s="1" t="s">
        <v>79</v>
      </c>
      <c r="D47" s="1"/>
      <c r="E47" s="1"/>
      <c r="F47" s="1"/>
      <c r="G47" s="1"/>
      <c r="H47" s="1"/>
      <c r="I47" s="1">
        <v>0.0</v>
      </c>
      <c r="J47" s="3">
        <f>0/86400</f>
        <v>0</v>
      </c>
      <c r="K47" s="1"/>
      <c r="L47" s="1"/>
      <c r="M47" s="1" t="b">
        <v>1</v>
      </c>
      <c r="N47" s="1"/>
      <c r="O47" s="1" t="b">
        <v>1</v>
      </c>
      <c r="P47" s="1" t="s">
        <v>135</v>
      </c>
    </row>
    <row r="48" spans="1:16">
      <c r="A48" s="1">
        <v>38</v>
      </c>
      <c r="B48" s="1" t="s">
        <v>136</v>
      </c>
      <c r="C48" s="1" t="s">
        <v>137</v>
      </c>
      <c r="D48" s="1"/>
      <c r="E48" s="1"/>
      <c r="F48" s="1"/>
      <c r="G48" s="1"/>
      <c r="H48" s="1"/>
      <c r="I48" s="1">
        <v>0.0</v>
      </c>
      <c r="J48" s="3">
        <f>0/86400</f>
        <v>0</v>
      </c>
      <c r="K48" s="1"/>
      <c r="L48" s="1"/>
      <c r="M48" s="1" t="b">
        <v>1</v>
      </c>
      <c r="N48" s="1"/>
      <c r="O48" s="1" t="b">
        <v>1</v>
      </c>
      <c r="P48" s="1" t="s">
        <v>138</v>
      </c>
    </row>
    <row r="49" spans="1:16">
      <c r="A49" s="1">
        <v>44</v>
      </c>
      <c r="B49" s="1" t="s">
        <v>139</v>
      </c>
      <c r="C49" s="1" t="s">
        <v>140</v>
      </c>
      <c r="D49" s="1"/>
      <c r="E49" s="1"/>
      <c r="F49" s="1"/>
      <c r="G49" s="1"/>
      <c r="H49" s="1"/>
      <c r="I49" s="1">
        <v>0.0</v>
      </c>
      <c r="J49" s="3">
        <f>0/86400</f>
        <v>0</v>
      </c>
      <c r="K49" s="1"/>
      <c r="L49" s="1"/>
      <c r="M49" s="1" t="b">
        <v>1</v>
      </c>
      <c r="N49" s="1"/>
      <c r="O49" s="1" t="b">
        <v>1</v>
      </c>
      <c r="P49" s="1" t="s">
        <v>141</v>
      </c>
    </row>
    <row r="50" spans="1:16">
      <c r="A50" s="1">
        <v>45</v>
      </c>
      <c r="B50" s="1" t="s">
        <v>142</v>
      </c>
      <c r="C50" s="1" t="s">
        <v>73</v>
      </c>
      <c r="D50" s="1"/>
      <c r="E50" s="1"/>
      <c r="F50" s="1"/>
      <c r="G50" s="1"/>
      <c r="H50" s="1"/>
      <c r="I50" s="1">
        <v>0.0</v>
      </c>
      <c r="J50" s="3">
        <f>0/86400</f>
        <v>0</v>
      </c>
      <c r="K50" s="1"/>
      <c r="L50" s="1"/>
      <c r="M50" s="1" t="b">
        <v>1</v>
      </c>
      <c r="N50" s="1"/>
      <c r="O50" s="1" t="b">
        <v>1</v>
      </c>
      <c r="P50" s="1" t="s">
        <v>143</v>
      </c>
    </row>
    <row r="51" spans="1:16">
      <c r="A51" s="1">
        <v>55</v>
      </c>
      <c r="B51" s="1" t="s">
        <v>144</v>
      </c>
      <c r="C51" s="1" t="s">
        <v>43</v>
      </c>
      <c r="D51" s="1"/>
      <c r="E51" s="1"/>
      <c r="F51" s="1"/>
      <c r="G51" s="1"/>
      <c r="H51" s="1"/>
      <c r="I51" s="1">
        <v>0.0</v>
      </c>
      <c r="J51" s="3">
        <f>0/86400</f>
        <v>0</v>
      </c>
      <c r="K51" s="1"/>
      <c r="L51" s="1"/>
      <c r="M51" s="1" t="b">
        <v>1</v>
      </c>
      <c r="N51" s="1"/>
      <c r="O51" s="1" t="b">
        <v>1</v>
      </c>
      <c r="P51" s="1" t="s">
        <v>145</v>
      </c>
    </row>
    <row r="52" spans="1:16">
      <c r="A52" s="1">
        <v>36</v>
      </c>
      <c r="B52" s="1" t="s">
        <v>146</v>
      </c>
      <c r="C52" s="1" t="s">
        <v>76</v>
      </c>
      <c r="D52" s="1"/>
      <c r="E52" s="1"/>
      <c r="F52" s="1"/>
      <c r="G52" s="1"/>
      <c r="H52" s="1"/>
      <c r="I52" s="1">
        <v>0.0</v>
      </c>
      <c r="J52" s="3">
        <f>0/86400</f>
        <v>0</v>
      </c>
      <c r="K52" s="1"/>
      <c r="L52" s="1"/>
      <c r="M52" s="1" t="b">
        <v>1</v>
      </c>
      <c r="N52" s="1"/>
      <c r="O52" s="1" t="b">
        <v>1</v>
      </c>
      <c r="P52" s="1" t="s">
        <v>147</v>
      </c>
    </row>
    <row r="53" spans="1:16">
      <c r="A53" s="1">
        <v>43</v>
      </c>
      <c r="B53" s="1" t="s">
        <v>148</v>
      </c>
      <c r="C53" s="1" t="s">
        <v>149</v>
      </c>
      <c r="D53" s="1"/>
      <c r="E53" s="1"/>
      <c r="F53" s="1"/>
      <c r="G53" s="1"/>
      <c r="H53" s="1"/>
      <c r="I53" s="1">
        <v>1664.2</v>
      </c>
      <c r="J53" s="3">
        <f>0/86400</f>
        <v>0</v>
      </c>
      <c r="K53" s="1"/>
      <c r="L53" s="1"/>
      <c r="M53" s="1" t="b">
        <v>1</v>
      </c>
      <c r="N53" s="1"/>
      <c r="O53" s="1" t="b">
        <v>1</v>
      </c>
      <c r="P53" s="1" t="s">
        <v>150</v>
      </c>
    </row>
    <row r="54" spans="1:16">
      <c r="A54" s="1">
        <v>46</v>
      </c>
      <c r="B54" s="1" t="s">
        <v>151</v>
      </c>
      <c r="C54" s="1" t="s">
        <v>152</v>
      </c>
      <c r="D54" s="1"/>
      <c r="E54" s="1"/>
      <c r="F54" s="1"/>
      <c r="G54" s="1"/>
      <c r="H54" s="1"/>
      <c r="I54" s="1">
        <v>0.0</v>
      </c>
      <c r="J54" s="3">
        <f>0/86400</f>
        <v>0</v>
      </c>
      <c r="K54" s="1"/>
      <c r="L54" s="1"/>
      <c r="M54" s="1" t="b">
        <v>1</v>
      </c>
      <c r="N54" s="1"/>
      <c r="O54" s="1" t="b">
        <v>1</v>
      </c>
      <c r="P54" s="1" t="s">
        <v>153</v>
      </c>
    </row>
    <row r="55" spans="1:16">
      <c r="A55" s="1">
        <v>41</v>
      </c>
      <c r="B55" s="1" t="s">
        <v>154</v>
      </c>
      <c r="C55" s="1" t="s">
        <v>155</v>
      </c>
      <c r="D55" s="1"/>
      <c r="E55" s="1"/>
      <c r="F55" s="1"/>
      <c r="G55" s="1"/>
      <c r="H55" s="1"/>
      <c r="I55" s="1">
        <v>0.0</v>
      </c>
      <c r="J55" s="3">
        <f>0/86400</f>
        <v>0</v>
      </c>
      <c r="K55" s="1"/>
      <c r="L55" s="1"/>
      <c r="M55" s="1" t="b">
        <v>1</v>
      </c>
      <c r="N55" s="1"/>
      <c r="O55" s="1" t="b">
        <v>1</v>
      </c>
      <c r="P55" s="1" t="s">
        <v>156</v>
      </c>
    </row>
    <row r="56" spans="1:16">
      <c r="A56" s="1">
        <v>33</v>
      </c>
      <c r="B56" s="1" t="s">
        <v>157</v>
      </c>
      <c r="C56" s="1" t="s">
        <v>158</v>
      </c>
      <c r="D56" s="1"/>
      <c r="E56" s="1"/>
      <c r="F56" s="1"/>
      <c r="G56" s="1"/>
      <c r="H56" s="1"/>
      <c r="I56" s="1">
        <v>0.0</v>
      </c>
      <c r="J56" s="3">
        <f>0/86400</f>
        <v>0</v>
      </c>
      <c r="K56" s="1"/>
      <c r="L56" s="1"/>
      <c r="M56" s="1" t="b">
        <v>1</v>
      </c>
      <c r="N56" s="1"/>
      <c r="O56" s="1" t="b">
        <v>1</v>
      </c>
      <c r="P56" s="1" t="s">
        <v>159</v>
      </c>
    </row>
    <row r="57" spans="1:16">
      <c r="A57" s="1">
        <v>47</v>
      </c>
      <c r="B57" s="1" t="s">
        <v>160</v>
      </c>
      <c r="C57" s="1" t="s">
        <v>161</v>
      </c>
      <c r="D57" s="1"/>
      <c r="E57" s="1"/>
      <c r="F57" s="1"/>
      <c r="G57" s="1"/>
      <c r="H57" s="1"/>
      <c r="I57" s="1">
        <v>0.0</v>
      </c>
      <c r="J57" s="3">
        <f>0/86400</f>
        <v>0</v>
      </c>
      <c r="K57" s="1"/>
      <c r="L57" s="1"/>
      <c r="M57" s="1" t="b">
        <v>1</v>
      </c>
      <c r="N57" s="1"/>
      <c r="O57" s="1" t="b">
        <v>1</v>
      </c>
      <c r="P57" s="1" t="s">
        <v>162</v>
      </c>
    </row>
    <row r="58" spans="1:16">
      <c r="A58" s="1">
        <v>48</v>
      </c>
      <c r="B58" s="1" t="s">
        <v>163</v>
      </c>
      <c r="C58" s="1" t="s">
        <v>20</v>
      </c>
      <c r="D58" s="1"/>
      <c r="E58" s="1"/>
      <c r="F58" s="1"/>
      <c r="G58" s="1"/>
      <c r="H58" s="1"/>
      <c r="I58" s="1">
        <v>0.0</v>
      </c>
      <c r="J58" s="3">
        <f>0/86400</f>
        <v>0</v>
      </c>
      <c r="K58" s="1"/>
      <c r="L58" s="1"/>
      <c r="M58" s="1" t="b">
        <v>1</v>
      </c>
      <c r="N58" s="1"/>
      <c r="O58" s="1" t="b">
        <v>1</v>
      </c>
      <c r="P58" s="1" t="s">
        <v>164</v>
      </c>
    </row>
    <row r="59" spans="1:16">
      <c r="A59" s="1">
        <v>64</v>
      </c>
      <c r="B59" s="1" t="s">
        <v>165</v>
      </c>
      <c r="C59" s="1" t="s">
        <v>20</v>
      </c>
      <c r="D59" s="1"/>
      <c r="E59" s="1"/>
      <c r="F59" s="1"/>
      <c r="G59" s="1"/>
      <c r="H59" s="1"/>
      <c r="I59" s="1">
        <v>0.0</v>
      </c>
      <c r="J59" s="3">
        <f>0/86400</f>
        <v>0</v>
      </c>
      <c r="K59" s="1"/>
      <c r="L59" s="1"/>
      <c r="M59" s="1" t="b">
        <v>1</v>
      </c>
      <c r="N59" s="1"/>
      <c r="O59" s="1" t="b">
        <v>1</v>
      </c>
      <c r="P59" s="1" t="s">
        <v>166</v>
      </c>
    </row>
    <row r="60" spans="1:16">
      <c r="A60" s="1">
        <v>57</v>
      </c>
      <c r="B60" s="1" t="s">
        <v>167</v>
      </c>
      <c r="C60" s="1" t="s">
        <v>84</v>
      </c>
      <c r="D60" s="1"/>
      <c r="E60" s="1"/>
      <c r="F60" s="1"/>
      <c r="G60" s="1"/>
      <c r="H60" s="1"/>
      <c r="I60" s="1">
        <v>0.0</v>
      </c>
      <c r="J60" s="3">
        <f>0/86400</f>
        <v>0</v>
      </c>
      <c r="K60" s="1"/>
      <c r="L60" s="1"/>
      <c r="M60" s="1" t="b">
        <v>1</v>
      </c>
      <c r="N60" s="1"/>
      <c r="O60" s="1" t="b">
        <v>1</v>
      </c>
      <c r="P60" s="1" t="s">
        <v>168</v>
      </c>
    </row>
    <row r="61" spans="1:16">
      <c r="A61" s="1">
        <v>56</v>
      </c>
      <c r="B61" s="1" t="s">
        <v>169</v>
      </c>
      <c r="C61" s="1" t="s">
        <v>170</v>
      </c>
      <c r="D61" s="1"/>
      <c r="E61" s="1"/>
      <c r="F61" s="1"/>
      <c r="G61" s="1"/>
      <c r="H61" s="1"/>
      <c r="I61" s="1">
        <v>5748.0</v>
      </c>
      <c r="J61" s="3">
        <f>0/86400</f>
        <v>0</v>
      </c>
      <c r="K61" s="1"/>
      <c r="L61" s="1"/>
      <c r="M61" s="1" t="b">
        <v>1</v>
      </c>
      <c r="N61" s="1"/>
      <c r="O61" s="1" t="b">
        <v>1</v>
      </c>
      <c r="P61" s="1" t="s">
        <v>171</v>
      </c>
    </row>
    <row r="62" spans="1:16">
      <c r="A62" s="1">
        <v>29</v>
      </c>
      <c r="B62" s="1" t="s">
        <v>172</v>
      </c>
      <c r="C62" s="1" t="s">
        <v>173</v>
      </c>
      <c r="D62" s="1"/>
      <c r="E62" s="1"/>
      <c r="F62" s="1"/>
      <c r="G62" s="1"/>
      <c r="H62" s="1"/>
      <c r="I62" s="1">
        <v>2983.0</v>
      </c>
      <c r="J62" s="3">
        <f>0/86400</f>
        <v>0</v>
      </c>
      <c r="K62" s="1"/>
      <c r="L62" s="1"/>
      <c r="M62" s="1" t="b">
        <v>1</v>
      </c>
      <c r="N62" s="1"/>
      <c r="O62" s="1" t="b">
        <v>1</v>
      </c>
      <c r="P62" s="1" t="s">
        <v>174</v>
      </c>
    </row>
    <row r="63" spans="1:16">
      <c r="A63" s="1">
        <v>52</v>
      </c>
      <c r="B63" s="1" t="s">
        <v>175</v>
      </c>
      <c r="C63" s="1" t="s">
        <v>176</v>
      </c>
      <c r="D63" s="1"/>
      <c r="E63" s="1"/>
      <c r="F63" s="1"/>
      <c r="G63" s="1"/>
      <c r="H63" s="1"/>
      <c r="I63" s="1">
        <v>0.0</v>
      </c>
      <c r="J63" s="3">
        <f>0/86400</f>
        <v>0</v>
      </c>
      <c r="K63" s="1"/>
      <c r="L63" s="1"/>
      <c r="M63" s="1" t="b">
        <v>1</v>
      </c>
      <c r="N63" s="1"/>
      <c r="O63" s="1" t="b">
        <v>1</v>
      </c>
      <c r="P63" s="1" t="s">
        <v>177</v>
      </c>
    </row>
    <row r="64" spans="1:16">
      <c r="A64" s="1">
        <v>76</v>
      </c>
      <c r="B64" s="1" t="s">
        <v>178</v>
      </c>
      <c r="C64" s="1" t="s">
        <v>23</v>
      </c>
      <c r="D64" s="1"/>
      <c r="E64" s="1"/>
      <c r="F64" s="1"/>
      <c r="G64" s="1"/>
      <c r="H64" s="1"/>
      <c r="I64" s="1">
        <v>0.0</v>
      </c>
      <c r="J64" s="3">
        <f>0/86400</f>
        <v>0</v>
      </c>
      <c r="K64" s="1"/>
      <c r="L64" s="1"/>
      <c r="M64" s="1" t="b">
        <v>1</v>
      </c>
      <c r="N64" s="1"/>
      <c r="O64" s="1" t="b">
        <v>1</v>
      </c>
      <c r="P64" s="1" t="s">
        <v>179</v>
      </c>
    </row>
    <row r="65" spans="1:16">
      <c r="A65" s="1">
        <v>59</v>
      </c>
      <c r="B65" s="1" t="s">
        <v>180</v>
      </c>
      <c r="C65" s="1" t="s">
        <v>181</v>
      </c>
      <c r="D65" s="1"/>
      <c r="E65" s="1"/>
      <c r="F65" s="1"/>
      <c r="G65" s="1"/>
      <c r="H65" s="1"/>
      <c r="I65" s="1">
        <v>0.0</v>
      </c>
      <c r="J65" s="3">
        <f>0/86400</f>
        <v>0</v>
      </c>
      <c r="K65" s="1"/>
      <c r="L65" s="1"/>
      <c r="M65" s="1" t="b">
        <v>1</v>
      </c>
      <c r="N65" s="1"/>
      <c r="O65" s="1" t="b">
        <v>1</v>
      </c>
      <c r="P65" s="1" t="s">
        <v>182</v>
      </c>
    </row>
    <row r="66" spans="1:16">
      <c r="A66" s="1">
        <v>62</v>
      </c>
      <c r="B66" s="1" t="s">
        <v>183</v>
      </c>
      <c r="C66" s="1" t="s">
        <v>20</v>
      </c>
      <c r="D66" s="1"/>
      <c r="E66" s="1"/>
      <c r="F66" s="1"/>
      <c r="G66" s="1"/>
      <c r="H66" s="1"/>
      <c r="I66" s="1">
        <v>0.0</v>
      </c>
      <c r="J66" s="3">
        <f>0/86400</f>
        <v>0</v>
      </c>
      <c r="K66" s="1"/>
      <c r="L66" s="1"/>
      <c r="M66" s="1" t="b">
        <v>1</v>
      </c>
      <c r="N66" s="1"/>
      <c r="O66" s="1" t="b">
        <v>1</v>
      </c>
      <c r="P66" s="1" t="s">
        <v>184</v>
      </c>
    </row>
    <row r="67" spans="1:16">
      <c r="A67" s="1">
        <v>58</v>
      </c>
      <c r="B67" s="1" t="s">
        <v>185</v>
      </c>
      <c r="C67" s="1" t="s">
        <v>84</v>
      </c>
      <c r="D67" s="1"/>
      <c r="E67" s="1"/>
      <c r="F67" s="1"/>
      <c r="G67" s="1"/>
      <c r="H67" s="1"/>
      <c r="I67" s="1">
        <v>0.0</v>
      </c>
      <c r="J67" s="3">
        <f>0/86400</f>
        <v>0</v>
      </c>
      <c r="K67" s="1"/>
      <c r="L67" s="1"/>
      <c r="M67" s="1" t="b">
        <v>1</v>
      </c>
      <c r="N67" s="1"/>
      <c r="O67" s="1" t="b">
        <v>1</v>
      </c>
      <c r="P67" s="1" t="s">
        <v>186</v>
      </c>
    </row>
    <row r="68" spans="1:16">
      <c r="A68" s="1">
        <v>63</v>
      </c>
      <c r="B68" s="1" t="s">
        <v>187</v>
      </c>
      <c r="C68" s="1" t="s">
        <v>188</v>
      </c>
      <c r="D68" s="1"/>
      <c r="E68" s="1"/>
      <c r="F68" s="1"/>
      <c r="G68" s="1"/>
      <c r="H68" s="1"/>
      <c r="I68" s="1">
        <v>6892.0</v>
      </c>
      <c r="J68" s="3">
        <f>230400/86400</f>
        <v>2.6666666666667</v>
      </c>
      <c r="K68" s="1"/>
      <c r="L68" s="1"/>
      <c r="M68" s="1" t="b">
        <v>1</v>
      </c>
      <c r="N68" s="1"/>
      <c r="O68" s="1" t="b">
        <v>1</v>
      </c>
      <c r="P68" s="1" t="s">
        <v>189</v>
      </c>
    </row>
    <row r="69" spans="1:16">
      <c r="A69" s="1">
        <v>66</v>
      </c>
      <c r="B69" s="1" t="s">
        <v>190</v>
      </c>
      <c r="C69" s="1" t="s">
        <v>191</v>
      </c>
      <c r="D69" s="1"/>
      <c r="E69" s="1"/>
      <c r="F69" s="1"/>
      <c r="G69" s="1"/>
      <c r="H69" s="1"/>
      <c r="I69" s="1">
        <v>0.0</v>
      </c>
      <c r="J69" s="3">
        <f>0/86400</f>
        <v>0</v>
      </c>
      <c r="K69" s="1"/>
      <c r="L69" s="1"/>
      <c r="M69" s="1" t="b">
        <v>1</v>
      </c>
      <c r="N69" s="1"/>
      <c r="O69" s="1" t="b">
        <v>1</v>
      </c>
      <c r="P69" s="1" t="s">
        <v>192</v>
      </c>
    </row>
    <row r="70" spans="1:16">
      <c r="A70" s="1">
        <v>67</v>
      </c>
      <c r="B70" s="1" t="s">
        <v>193</v>
      </c>
      <c r="C70" s="1" t="s">
        <v>194</v>
      </c>
      <c r="D70" s="1"/>
      <c r="E70" s="1"/>
      <c r="F70" s="1"/>
      <c r="G70" s="1"/>
      <c r="H70" s="1"/>
      <c r="I70" s="1">
        <v>6153.0</v>
      </c>
      <c r="J70" s="3">
        <f>212280/86400</f>
        <v>2.4569444444444</v>
      </c>
      <c r="K70" s="1"/>
      <c r="L70" s="1"/>
      <c r="M70" s="1" t="b">
        <v>1</v>
      </c>
      <c r="N70" s="1"/>
      <c r="O70" s="1" t="b">
        <v>1</v>
      </c>
      <c r="P70" s="1" t="s">
        <v>195</v>
      </c>
    </row>
    <row r="71" spans="1:16">
      <c r="A71" s="1">
        <v>98</v>
      </c>
      <c r="B71" s="1" t="s">
        <v>196</v>
      </c>
      <c r="C71" s="1" t="s">
        <v>173</v>
      </c>
      <c r="D71" s="1"/>
      <c r="E71" s="1"/>
      <c r="F71" s="1"/>
      <c r="G71" s="1"/>
      <c r="H71" s="1"/>
      <c r="I71" s="1">
        <v>2714.0</v>
      </c>
      <c r="J71" s="3">
        <f>0/86400</f>
        <v>0</v>
      </c>
      <c r="K71" s="1"/>
      <c r="L71" s="1"/>
      <c r="M71" s="1" t="b">
        <v>1</v>
      </c>
      <c r="N71" s="1"/>
      <c r="O71" s="1" t="b">
        <v>1</v>
      </c>
      <c r="P71" s="1" t="s">
        <v>197</v>
      </c>
    </row>
    <row r="72" spans="1:16">
      <c r="A72" s="1">
        <v>68</v>
      </c>
      <c r="B72" s="1" t="s">
        <v>198</v>
      </c>
      <c r="C72" s="1" t="s">
        <v>199</v>
      </c>
      <c r="D72" s="1"/>
      <c r="E72" s="1"/>
      <c r="F72" s="1"/>
      <c r="G72" s="1"/>
      <c r="H72" s="1"/>
      <c r="I72" s="1">
        <v>0.0</v>
      </c>
      <c r="J72" s="3">
        <f>0/86400</f>
        <v>0</v>
      </c>
      <c r="K72" s="1"/>
      <c r="L72" s="1"/>
      <c r="M72" s="1" t="b">
        <v>1</v>
      </c>
      <c r="N72" s="1"/>
      <c r="O72" s="1" t="b">
        <v>1</v>
      </c>
      <c r="P72" s="1" t="s">
        <v>200</v>
      </c>
    </row>
    <row r="73" spans="1:16">
      <c r="A73" s="1">
        <v>69</v>
      </c>
      <c r="B73" s="1" t="s">
        <v>201</v>
      </c>
      <c r="C73" s="1" t="s">
        <v>20</v>
      </c>
      <c r="D73" s="1"/>
      <c r="E73" s="1"/>
      <c r="F73" s="1"/>
      <c r="G73" s="1"/>
      <c r="H73" s="1"/>
      <c r="I73" s="1">
        <v>0.0</v>
      </c>
      <c r="J73" s="3">
        <f>0/86400</f>
        <v>0</v>
      </c>
      <c r="K73" s="1"/>
      <c r="L73" s="1"/>
      <c r="M73" s="1" t="b">
        <v>1</v>
      </c>
      <c r="N73" s="1"/>
      <c r="O73" s="1" t="b">
        <v>1</v>
      </c>
      <c r="P73" s="1" t="s">
        <v>202</v>
      </c>
    </row>
    <row r="74" spans="1:16">
      <c r="A74" s="1">
        <v>81</v>
      </c>
      <c r="B74" s="1" t="s">
        <v>203</v>
      </c>
      <c r="C74" s="1" t="s">
        <v>87</v>
      </c>
      <c r="D74" s="1"/>
      <c r="E74" s="1"/>
      <c r="F74" s="1"/>
      <c r="G74" s="1"/>
      <c r="H74" s="1"/>
      <c r="I74" s="1">
        <v>2084.0</v>
      </c>
      <c r="J74" s="3">
        <f>46800/86400</f>
        <v>0.54166666666667</v>
      </c>
      <c r="K74" s="1"/>
      <c r="L74" s="1"/>
      <c r="M74" s="1" t="b">
        <v>1</v>
      </c>
      <c r="N74" s="1"/>
      <c r="O74" s="1" t="b">
        <v>1</v>
      </c>
      <c r="P74" s="1" t="s">
        <v>204</v>
      </c>
    </row>
    <row r="75" spans="1:16">
      <c r="A75" s="1">
        <v>71</v>
      </c>
      <c r="B75" s="1" t="s">
        <v>205</v>
      </c>
      <c r="C75" s="1" t="s">
        <v>206</v>
      </c>
      <c r="D75" s="1"/>
      <c r="E75" s="1"/>
      <c r="F75" s="1"/>
      <c r="G75" s="1"/>
      <c r="H75" s="1"/>
      <c r="I75" s="1">
        <v>532.84</v>
      </c>
      <c r="J75" s="3">
        <f>0/86400</f>
        <v>0</v>
      </c>
      <c r="K75" s="1"/>
      <c r="L75" s="1"/>
      <c r="M75" s="1" t="b">
        <v>1</v>
      </c>
      <c r="N75" s="1"/>
      <c r="O75" s="1" t="b">
        <v>1</v>
      </c>
      <c r="P75" s="1" t="s">
        <v>207</v>
      </c>
    </row>
    <row r="76" spans="1:16">
      <c r="A76" s="1">
        <v>82</v>
      </c>
      <c r="B76" s="1" t="s">
        <v>208</v>
      </c>
      <c r="C76" s="1" t="s">
        <v>87</v>
      </c>
      <c r="D76" s="1"/>
      <c r="E76" s="1"/>
      <c r="F76" s="1"/>
      <c r="G76" s="1"/>
      <c r="H76" s="1"/>
      <c r="I76" s="1">
        <v>2875.72</v>
      </c>
      <c r="J76" s="3">
        <f>100800/86400</f>
        <v>1.1666666666667</v>
      </c>
      <c r="K76" s="1"/>
      <c r="L76" s="1"/>
      <c r="M76" s="1" t="b">
        <v>1</v>
      </c>
      <c r="N76" s="1"/>
      <c r="O76" s="1" t="b">
        <v>1</v>
      </c>
      <c r="P76" s="1" t="s">
        <v>209</v>
      </c>
    </row>
    <row r="77" spans="1:16">
      <c r="A77" s="1">
        <v>61</v>
      </c>
      <c r="B77" s="1" t="s">
        <v>210</v>
      </c>
      <c r="C77" s="1" t="s">
        <v>23</v>
      </c>
      <c r="D77" s="1"/>
      <c r="E77" s="1"/>
      <c r="F77" s="1"/>
      <c r="G77" s="1"/>
      <c r="H77" s="1"/>
      <c r="I77" s="1">
        <v>0.0</v>
      </c>
      <c r="J77" s="3">
        <f>0/86400</f>
        <v>0</v>
      </c>
      <c r="K77" s="1"/>
      <c r="L77" s="1"/>
      <c r="M77" s="1" t="b">
        <v>1</v>
      </c>
      <c r="N77" s="1"/>
      <c r="O77" s="1" t="b">
        <v>1</v>
      </c>
      <c r="P77" s="1" t="s">
        <v>211</v>
      </c>
    </row>
    <row r="78" spans="1:16">
      <c r="A78" s="1">
        <v>84</v>
      </c>
      <c r="B78" s="1" t="s">
        <v>212</v>
      </c>
      <c r="C78" s="1" t="s">
        <v>213</v>
      </c>
      <c r="D78" s="1"/>
      <c r="E78" s="1"/>
      <c r="F78" s="1"/>
      <c r="G78" s="1"/>
      <c r="H78" s="1"/>
      <c r="I78" s="1">
        <v>0.0</v>
      </c>
      <c r="J78" s="3">
        <f>0/86400</f>
        <v>0</v>
      </c>
      <c r="K78" s="1"/>
      <c r="L78" s="1"/>
      <c r="M78" s="1" t="b">
        <v>1</v>
      </c>
      <c r="N78" s="1"/>
      <c r="O78" s="1" t="b">
        <v>1</v>
      </c>
      <c r="P78" s="1" t="s">
        <v>214</v>
      </c>
    </row>
    <row r="79" spans="1:16">
      <c r="A79" s="1">
        <v>83</v>
      </c>
      <c r="B79" s="1" t="s">
        <v>215</v>
      </c>
      <c r="C79" s="1" t="s">
        <v>216</v>
      </c>
      <c r="D79" s="1"/>
      <c r="E79" s="1"/>
      <c r="F79" s="1"/>
      <c r="G79" s="1"/>
      <c r="H79" s="1"/>
      <c r="I79" s="1">
        <v>0.0</v>
      </c>
      <c r="J79" s="3">
        <f>0/86400</f>
        <v>0</v>
      </c>
      <c r="K79" s="1"/>
      <c r="L79" s="1"/>
      <c r="M79" s="1" t="b">
        <v>1</v>
      </c>
      <c r="N79" s="1"/>
      <c r="O79" s="1" t="b">
        <v>1</v>
      </c>
      <c r="P79" s="1" t="s">
        <v>217</v>
      </c>
    </row>
    <row r="80" spans="1:16">
      <c r="A80" s="1">
        <v>126</v>
      </c>
      <c r="B80" s="1" t="s">
        <v>218</v>
      </c>
      <c r="C80" s="1" t="s">
        <v>219</v>
      </c>
      <c r="D80" s="1"/>
      <c r="E80" s="1"/>
      <c r="F80" s="1"/>
      <c r="G80" s="1"/>
      <c r="H80" s="1"/>
      <c r="I80" s="1">
        <v>4199.0</v>
      </c>
      <c r="J80" s="3">
        <f>0/86400</f>
        <v>0</v>
      </c>
      <c r="K80" s="1"/>
      <c r="L80" s="1"/>
      <c r="M80" s="1" t="b">
        <v>1</v>
      </c>
      <c r="N80" s="1"/>
      <c r="O80" s="1" t="b">
        <v>1</v>
      </c>
      <c r="P80" s="1" t="s">
        <v>220</v>
      </c>
    </row>
    <row r="81" spans="1:16">
      <c r="A81" s="1">
        <v>127</v>
      </c>
      <c r="B81" s="1" t="s">
        <v>221</v>
      </c>
      <c r="C81" s="1" t="s">
        <v>219</v>
      </c>
      <c r="D81" s="1"/>
      <c r="E81" s="1"/>
      <c r="F81" s="1"/>
      <c r="G81" s="1"/>
      <c r="H81" s="1"/>
      <c r="I81" s="1">
        <v>1145.0</v>
      </c>
      <c r="J81" s="3">
        <f>0/86400</f>
        <v>0</v>
      </c>
      <c r="K81" s="1"/>
      <c r="L81" s="1"/>
      <c r="M81" s="1" t="b">
        <v>1</v>
      </c>
      <c r="N81" s="1"/>
      <c r="O81" s="1" t="b">
        <v>1</v>
      </c>
      <c r="P81" s="1" t="s">
        <v>222</v>
      </c>
    </row>
    <row r="82" spans="1:16">
      <c r="A82" s="1">
        <v>129</v>
      </c>
      <c r="B82" s="1" t="s">
        <v>223</v>
      </c>
      <c r="C82" s="1" t="s">
        <v>219</v>
      </c>
      <c r="D82" s="1"/>
      <c r="E82" s="1"/>
      <c r="F82" s="1"/>
      <c r="G82" s="1"/>
      <c r="H82" s="1"/>
      <c r="I82" s="1">
        <v>3316.0</v>
      </c>
      <c r="J82" s="3">
        <f>0/86400</f>
        <v>0</v>
      </c>
      <c r="K82" s="1"/>
      <c r="L82" s="1"/>
      <c r="M82" s="1" t="b">
        <v>1</v>
      </c>
      <c r="N82" s="1"/>
      <c r="O82" s="1" t="b">
        <v>1</v>
      </c>
      <c r="P82" s="1" t="s">
        <v>224</v>
      </c>
    </row>
    <row r="83" spans="1:16">
      <c r="A83" s="1">
        <v>130</v>
      </c>
      <c r="B83" s="1" t="s">
        <v>225</v>
      </c>
      <c r="C83" s="1" t="s">
        <v>219</v>
      </c>
      <c r="D83" s="1"/>
      <c r="E83" s="1"/>
      <c r="F83" s="1"/>
      <c r="G83" s="1"/>
      <c r="H83" s="1"/>
      <c r="I83" s="1">
        <v>8280.0</v>
      </c>
      <c r="J83" s="3">
        <f>216000/86400</f>
        <v>2.5</v>
      </c>
      <c r="K83" s="1"/>
      <c r="L83" s="1"/>
      <c r="M83" s="1" t="b">
        <v>1</v>
      </c>
      <c r="N83" s="1"/>
      <c r="O83" s="1" t="b">
        <v>1</v>
      </c>
      <c r="P83" s="1" t="s">
        <v>226</v>
      </c>
    </row>
    <row r="84" spans="1:16">
      <c r="A84" s="1">
        <v>131</v>
      </c>
      <c r="B84" s="1" t="s">
        <v>227</v>
      </c>
      <c r="C84" s="1" t="s">
        <v>219</v>
      </c>
      <c r="D84" s="1"/>
      <c r="E84" s="1"/>
      <c r="F84" s="1"/>
      <c r="G84" s="1"/>
      <c r="H84" s="1"/>
      <c r="I84" s="1">
        <v>0.0</v>
      </c>
      <c r="J84" s="3">
        <f>0/86400</f>
        <v>0</v>
      </c>
      <c r="K84" s="1"/>
      <c r="L84" s="1"/>
      <c r="M84" s="1" t="b">
        <v>1</v>
      </c>
      <c r="N84" s="1"/>
      <c r="O84" s="1" t="b">
        <v>1</v>
      </c>
      <c r="P84" s="1" t="s">
        <v>228</v>
      </c>
    </row>
    <row r="85" spans="1:16">
      <c r="A85" s="1">
        <v>89</v>
      </c>
      <c r="B85" s="1" t="s">
        <v>229</v>
      </c>
      <c r="C85" s="1" t="s">
        <v>219</v>
      </c>
      <c r="D85" s="1"/>
      <c r="E85" s="1"/>
      <c r="F85" s="1"/>
      <c r="G85" s="1"/>
      <c r="H85" s="1"/>
      <c r="I85" s="1">
        <v>17477.76</v>
      </c>
      <c r="J85" s="3">
        <f>0/86400</f>
        <v>0</v>
      </c>
      <c r="K85" s="1"/>
      <c r="L85" s="1"/>
      <c r="M85" s="1" t="b">
        <v>1</v>
      </c>
      <c r="N85" s="1"/>
      <c r="O85" s="1" t="b">
        <v>1</v>
      </c>
      <c r="P85" s="1" t="s">
        <v>230</v>
      </c>
    </row>
    <row r="86" spans="1:16">
      <c r="A86" s="1">
        <v>88</v>
      </c>
      <c r="B86" s="1" t="s">
        <v>231</v>
      </c>
      <c r="C86" s="1" t="s">
        <v>232</v>
      </c>
      <c r="D86" s="1"/>
      <c r="E86" s="1"/>
      <c r="F86" s="1"/>
      <c r="G86" s="1"/>
      <c r="H86" s="1"/>
      <c r="I86" s="1">
        <v>5232.0</v>
      </c>
      <c r="J86" s="3">
        <f>210600/86400</f>
        <v>2.4375</v>
      </c>
      <c r="K86" s="1"/>
      <c r="L86" s="1"/>
      <c r="M86" s="1" t="b">
        <v>1</v>
      </c>
      <c r="N86" s="1"/>
      <c r="O86" s="1" t="b">
        <v>1</v>
      </c>
      <c r="P86" s="1" t="s">
        <v>233</v>
      </c>
    </row>
    <row r="87" spans="1:16">
      <c r="A87" s="1">
        <v>147</v>
      </c>
      <c r="B87" s="1" t="s">
        <v>234</v>
      </c>
      <c r="C87" s="1" t="s">
        <v>235</v>
      </c>
      <c r="D87" s="1"/>
      <c r="E87" s="1"/>
      <c r="F87" s="1"/>
      <c r="G87" s="1"/>
      <c r="H87" s="1"/>
      <c r="I87" s="1">
        <v>0.0</v>
      </c>
      <c r="J87" s="3">
        <f>0/86400</f>
        <v>0</v>
      </c>
      <c r="K87" s="1"/>
      <c r="L87" s="1"/>
      <c r="M87" s="1" t="b">
        <v>1</v>
      </c>
      <c r="N87" s="1"/>
      <c r="O87" s="1" t="b">
        <v>1</v>
      </c>
      <c r="P87" s="1" t="s">
        <v>236</v>
      </c>
    </row>
    <row r="88" spans="1:16">
      <c r="A88" s="1">
        <v>93</v>
      </c>
      <c r="B88" s="1" t="s">
        <v>237</v>
      </c>
      <c r="C88" s="1" t="s">
        <v>235</v>
      </c>
      <c r="D88" s="1"/>
      <c r="E88" s="1"/>
      <c r="F88" s="1"/>
      <c r="G88" s="1"/>
      <c r="H88" s="1"/>
      <c r="I88" s="1">
        <v>13665.0</v>
      </c>
      <c r="J88" s="3">
        <f>234000/86400</f>
        <v>2.7083333333333</v>
      </c>
      <c r="K88" s="1"/>
      <c r="L88" s="1"/>
      <c r="M88" s="1" t="b">
        <v>1</v>
      </c>
      <c r="N88" s="1"/>
      <c r="O88" s="1" t="b">
        <v>1</v>
      </c>
      <c r="P88" s="1" t="s">
        <v>238</v>
      </c>
    </row>
    <row r="89" spans="1:16">
      <c r="A89" s="1">
        <v>60</v>
      </c>
      <c r="B89" s="1" t="s">
        <v>239</v>
      </c>
      <c r="C89" s="1" t="s">
        <v>23</v>
      </c>
      <c r="D89" s="1"/>
      <c r="E89" s="1"/>
      <c r="F89" s="1"/>
      <c r="G89" s="1"/>
      <c r="H89" s="1"/>
      <c r="I89" s="1">
        <v>0.0</v>
      </c>
      <c r="J89" s="3">
        <f>0/86400</f>
        <v>0</v>
      </c>
      <c r="K89" s="1"/>
      <c r="L89" s="1"/>
      <c r="M89" s="1" t="b">
        <v>1</v>
      </c>
      <c r="N89" s="1"/>
      <c r="O89" s="1" t="b">
        <v>1</v>
      </c>
      <c r="P89" s="1" t="s">
        <v>240</v>
      </c>
    </row>
    <row r="90" spans="1:16">
      <c r="A90" s="1">
        <v>96</v>
      </c>
      <c r="B90" s="1" t="s">
        <v>241</v>
      </c>
      <c r="C90" s="1" t="s">
        <v>242</v>
      </c>
      <c r="D90" s="1"/>
      <c r="E90" s="1"/>
      <c r="F90" s="1"/>
      <c r="G90" s="1"/>
      <c r="H90" s="1"/>
      <c r="I90" s="1">
        <v>0.0</v>
      </c>
      <c r="J90" s="3">
        <f>0/86400</f>
        <v>0</v>
      </c>
      <c r="K90" s="1"/>
      <c r="L90" s="1"/>
      <c r="M90" s="1" t="b">
        <v>1</v>
      </c>
      <c r="N90" s="1"/>
      <c r="O90" s="1" t="b">
        <v>1</v>
      </c>
      <c r="P90" s="1" t="s">
        <v>243</v>
      </c>
    </row>
    <row r="91" spans="1:16">
      <c r="A91" s="1">
        <v>85</v>
      </c>
      <c r="B91" s="1" t="s">
        <v>244</v>
      </c>
      <c r="C91" s="1" t="s">
        <v>35</v>
      </c>
      <c r="D91" s="1"/>
      <c r="E91" s="1"/>
      <c r="F91" s="1"/>
      <c r="G91" s="1"/>
      <c r="H91" s="1"/>
      <c r="I91" s="1">
        <v>0.0</v>
      </c>
      <c r="J91" s="3">
        <f>0/86400</f>
        <v>0</v>
      </c>
      <c r="K91" s="1"/>
      <c r="L91" s="1"/>
      <c r="M91" s="1" t="b">
        <v>1</v>
      </c>
      <c r="N91" s="1"/>
      <c r="O91" s="1" t="b">
        <v>1</v>
      </c>
      <c r="P91" s="1" t="s">
        <v>245</v>
      </c>
    </row>
    <row r="92" spans="1:16">
      <c r="A92" s="1">
        <v>86</v>
      </c>
      <c r="B92" s="1" t="s">
        <v>246</v>
      </c>
      <c r="C92" s="1" t="s">
        <v>247</v>
      </c>
      <c r="D92" s="1"/>
      <c r="E92" s="1"/>
      <c r="F92" s="1"/>
      <c r="G92" s="1"/>
      <c r="H92" s="1"/>
      <c r="I92" s="1">
        <v>2445.0</v>
      </c>
      <c r="J92" s="3">
        <f>104400/86400</f>
        <v>1.2083333333333</v>
      </c>
      <c r="K92" s="1"/>
      <c r="L92" s="1"/>
      <c r="M92" s="1" t="b">
        <v>1</v>
      </c>
      <c r="N92" s="1"/>
      <c r="O92" s="1" t="b">
        <v>1</v>
      </c>
      <c r="P92" s="1" t="s">
        <v>248</v>
      </c>
    </row>
    <row r="93" spans="1:16">
      <c r="A93" s="1">
        <v>74</v>
      </c>
      <c r="B93" s="1" t="s">
        <v>249</v>
      </c>
      <c r="C93" s="1" t="s">
        <v>20</v>
      </c>
      <c r="D93" s="1"/>
      <c r="E93" s="1"/>
      <c r="F93" s="1"/>
      <c r="G93" s="1"/>
      <c r="H93" s="1"/>
      <c r="I93" s="1">
        <v>0.0</v>
      </c>
      <c r="J93" s="3">
        <f>0/86400</f>
        <v>0</v>
      </c>
      <c r="K93" s="1"/>
      <c r="L93" s="1"/>
      <c r="M93" s="1" t="b">
        <v>1</v>
      </c>
      <c r="N93" s="1"/>
      <c r="O93" s="1" t="b">
        <v>1</v>
      </c>
      <c r="P93" s="1" t="s">
        <v>250</v>
      </c>
    </row>
    <row r="94" spans="1:16">
      <c r="A94" s="1">
        <v>75</v>
      </c>
      <c r="B94" s="1" t="s">
        <v>251</v>
      </c>
      <c r="C94" s="1" t="s">
        <v>252</v>
      </c>
      <c r="D94" s="1"/>
      <c r="E94" s="1"/>
      <c r="F94" s="1"/>
      <c r="G94" s="1"/>
      <c r="H94" s="1"/>
      <c r="I94" s="1">
        <v>0.0</v>
      </c>
      <c r="J94" s="3">
        <f>0/86400</f>
        <v>0</v>
      </c>
      <c r="K94" s="1"/>
      <c r="L94" s="1"/>
      <c r="M94" s="1" t="b">
        <v>1</v>
      </c>
      <c r="N94" s="1"/>
      <c r="O94" s="1" t="b">
        <v>1</v>
      </c>
      <c r="P94" s="1" t="s">
        <v>253</v>
      </c>
    </row>
    <row r="95" spans="1:16">
      <c r="A95" s="1">
        <v>79</v>
      </c>
      <c r="B95" s="1" t="s">
        <v>254</v>
      </c>
      <c r="C95" s="1" t="s">
        <v>32</v>
      </c>
      <c r="D95" s="1"/>
      <c r="E95" s="1"/>
      <c r="F95" s="1"/>
      <c r="G95" s="1"/>
      <c r="H95" s="1"/>
      <c r="I95" s="1">
        <v>0.0</v>
      </c>
      <c r="J95" s="3">
        <f>0/86400</f>
        <v>0</v>
      </c>
      <c r="K95" s="1"/>
      <c r="L95" s="1"/>
      <c r="M95" s="1" t="b">
        <v>1</v>
      </c>
      <c r="N95" s="1"/>
      <c r="O95" s="1" t="b">
        <v>1</v>
      </c>
      <c r="P95" s="1" t="s">
        <v>255</v>
      </c>
    </row>
    <row r="96" spans="1:16">
      <c r="A96" s="1">
        <v>87</v>
      </c>
      <c r="B96" s="1" t="s">
        <v>256</v>
      </c>
      <c r="C96" s="1" t="s">
        <v>68</v>
      </c>
      <c r="D96" s="1"/>
      <c r="E96" s="1"/>
      <c r="F96" s="1"/>
      <c r="G96" s="1"/>
      <c r="H96" s="1"/>
      <c r="I96" s="1">
        <v>0.0</v>
      </c>
      <c r="J96" s="3">
        <f>0/86400</f>
        <v>0</v>
      </c>
      <c r="K96" s="1"/>
      <c r="L96" s="1"/>
      <c r="M96" s="1" t="b">
        <v>1</v>
      </c>
      <c r="N96" s="1"/>
      <c r="O96" s="1" t="b">
        <v>1</v>
      </c>
      <c r="P96" s="1" t="s">
        <v>257</v>
      </c>
    </row>
    <row r="97" spans="1:16">
      <c r="A97" s="1">
        <v>92</v>
      </c>
      <c r="B97" s="1" t="s">
        <v>258</v>
      </c>
      <c r="C97" s="1" t="s">
        <v>259</v>
      </c>
      <c r="D97" s="1"/>
      <c r="E97" s="1"/>
      <c r="F97" s="1"/>
      <c r="G97" s="1"/>
      <c r="H97" s="1"/>
      <c r="I97" s="1">
        <v>0.0</v>
      </c>
      <c r="J97" s="3">
        <f>0/86400</f>
        <v>0</v>
      </c>
      <c r="K97" s="1"/>
      <c r="L97" s="1"/>
      <c r="M97" s="1" t="b">
        <v>1</v>
      </c>
      <c r="N97" s="1"/>
      <c r="O97" s="1" t="b">
        <v>1</v>
      </c>
      <c r="P97" s="1" t="s">
        <v>260</v>
      </c>
    </row>
    <row r="98" spans="1:16">
      <c r="A98" s="1">
        <v>94</v>
      </c>
      <c r="B98" s="1" t="s">
        <v>261</v>
      </c>
      <c r="C98" s="1" t="s">
        <v>35</v>
      </c>
      <c r="D98" s="1"/>
      <c r="E98" s="1"/>
      <c r="F98" s="1"/>
      <c r="G98" s="1"/>
      <c r="H98" s="1"/>
      <c r="I98" s="1">
        <v>0.0</v>
      </c>
      <c r="J98" s="3">
        <f>0/86400</f>
        <v>0</v>
      </c>
      <c r="K98" s="1"/>
      <c r="L98" s="1"/>
      <c r="M98" s="1" t="b">
        <v>1</v>
      </c>
      <c r="N98" s="1"/>
      <c r="O98" s="1" t="b">
        <v>1</v>
      </c>
      <c r="P98" s="1" t="s">
        <v>262</v>
      </c>
    </row>
    <row r="99" spans="1:16">
      <c r="A99" s="1">
        <v>97</v>
      </c>
      <c r="B99" s="1" t="s">
        <v>263</v>
      </c>
      <c r="C99" s="1" t="s">
        <v>264</v>
      </c>
      <c r="D99" s="1"/>
      <c r="E99" s="1"/>
      <c r="F99" s="1"/>
      <c r="G99" s="1"/>
      <c r="H99" s="1"/>
      <c r="I99" s="1">
        <v>0.0</v>
      </c>
      <c r="J99" s="3">
        <f>0/86400</f>
        <v>0</v>
      </c>
      <c r="K99" s="1"/>
      <c r="L99" s="1"/>
      <c r="M99" s="1" t="b">
        <v>1</v>
      </c>
      <c r="N99" s="1"/>
      <c r="O99" s="1" t="b">
        <v>1</v>
      </c>
      <c r="P99" s="1" t="s">
        <v>265</v>
      </c>
    </row>
    <row r="100" spans="1:16">
      <c r="A100" s="1">
        <v>99</v>
      </c>
      <c r="B100" s="1" t="s">
        <v>266</v>
      </c>
      <c r="C100" s="1" t="s">
        <v>35</v>
      </c>
      <c r="D100" s="1"/>
      <c r="E100" s="1"/>
      <c r="F100" s="1"/>
      <c r="G100" s="1"/>
      <c r="H100" s="1"/>
      <c r="I100" s="1">
        <v>0.0</v>
      </c>
      <c r="J100" s="3">
        <f>61200/86400</f>
        <v>0.70833333333333</v>
      </c>
      <c r="K100" s="1"/>
      <c r="L100" s="1"/>
      <c r="M100" s="1" t="b">
        <v>1</v>
      </c>
      <c r="N100" s="1"/>
      <c r="O100" s="1" t="b">
        <v>1</v>
      </c>
      <c r="P100" s="1" t="s">
        <v>267</v>
      </c>
    </row>
    <row r="101" spans="1:16">
      <c r="A101" s="1">
        <v>100</v>
      </c>
      <c r="B101" s="1" t="s">
        <v>268</v>
      </c>
      <c r="C101" s="1" t="s">
        <v>35</v>
      </c>
      <c r="D101" s="1"/>
      <c r="E101" s="1"/>
      <c r="F101" s="1"/>
      <c r="G101" s="1"/>
      <c r="H101" s="1"/>
      <c r="I101" s="1">
        <v>0.0</v>
      </c>
      <c r="J101" s="3">
        <f>0/86400</f>
        <v>0</v>
      </c>
      <c r="K101" s="1"/>
      <c r="L101" s="1"/>
      <c r="M101" s="1" t="b">
        <v>1</v>
      </c>
      <c r="N101" s="1"/>
      <c r="O101" s="1" t="b">
        <v>1</v>
      </c>
      <c r="P101" s="1" t="s">
        <v>269</v>
      </c>
    </row>
    <row r="102" spans="1:16">
      <c r="A102" s="1">
        <v>101</v>
      </c>
      <c r="B102" s="1" t="s">
        <v>270</v>
      </c>
      <c r="C102" s="1" t="s">
        <v>35</v>
      </c>
      <c r="D102" s="1"/>
      <c r="E102" s="1"/>
      <c r="F102" s="1"/>
      <c r="G102" s="1"/>
      <c r="H102" s="1"/>
      <c r="I102" s="1">
        <v>0.0</v>
      </c>
      <c r="J102" s="3">
        <f>0/86400</f>
        <v>0</v>
      </c>
      <c r="K102" s="1"/>
      <c r="L102" s="1"/>
      <c r="M102" s="1" t="b">
        <v>1</v>
      </c>
      <c r="N102" s="1"/>
      <c r="O102" s="1" t="b">
        <v>1</v>
      </c>
      <c r="P102" s="1" t="s">
        <v>271</v>
      </c>
    </row>
    <row r="103" spans="1:16">
      <c r="A103" s="1">
        <v>102</v>
      </c>
      <c r="B103" s="1" t="s">
        <v>272</v>
      </c>
      <c r="C103" s="1" t="s">
        <v>273</v>
      </c>
      <c r="D103" s="1"/>
      <c r="E103" s="1"/>
      <c r="F103" s="1"/>
      <c r="G103" s="1"/>
      <c r="H103" s="1"/>
      <c r="I103" s="1">
        <v>0.0</v>
      </c>
      <c r="J103" s="3">
        <f>0/86400</f>
        <v>0</v>
      </c>
      <c r="K103" s="1"/>
      <c r="L103" s="1"/>
      <c r="M103" s="1" t="b">
        <v>1</v>
      </c>
      <c r="N103" s="1"/>
      <c r="O103" s="1" t="b">
        <v>1</v>
      </c>
      <c r="P103" s="1" t="s">
        <v>274</v>
      </c>
    </row>
    <row r="104" spans="1:16">
      <c r="A104" s="1">
        <v>108</v>
      </c>
      <c r="B104" s="1" t="s">
        <v>275</v>
      </c>
      <c r="C104" s="1" t="s">
        <v>32</v>
      </c>
      <c r="D104" s="1"/>
      <c r="E104" s="1"/>
      <c r="F104" s="1"/>
      <c r="G104" s="1"/>
      <c r="H104" s="1"/>
      <c r="I104" s="1">
        <v>0.0</v>
      </c>
      <c r="J104" s="3">
        <f>0/86400</f>
        <v>0</v>
      </c>
      <c r="K104" s="1"/>
      <c r="L104" s="1"/>
      <c r="M104" s="1" t="b">
        <v>1</v>
      </c>
      <c r="N104" s="1"/>
      <c r="O104" s="1" t="b">
        <v>1</v>
      </c>
      <c r="P104" s="1" t="s">
        <v>276</v>
      </c>
    </row>
    <row r="105" spans="1:16">
      <c r="A105" s="1">
        <v>109</v>
      </c>
      <c r="B105" s="1" t="s">
        <v>277</v>
      </c>
      <c r="C105" s="1" t="s">
        <v>32</v>
      </c>
      <c r="D105" s="1"/>
      <c r="E105" s="1"/>
      <c r="F105" s="1"/>
      <c r="G105" s="1"/>
      <c r="H105" s="1"/>
      <c r="I105" s="1">
        <v>0.0</v>
      </c>
      <c r="J105" s="3">
        <f>0/86400</f>
        <v>0</v>
      </c>
      <c r="K105" s="1"/>
      <c r="L105" s="1"/>
      <c r="M105" s="1" t="b">
        <v>1</v>
      </c>
      <c r="N105" s="1"/>
      <c r="O105" s="1" t="b">
        <v>1</v>
      </c>
      <c r="P105" s="1" t="s">
        <v>278</v>
      </c>
    </row>
    <row r="106" spans="1:16">
      <c r="A106" s="1">
        <v>115</v>
      </c>
      <c r="B106" s="1" t="s">
        <v>279</v>
      </c>
      <c r="C106" s="1" t="s">
        <v>23</v>
      </c>
      <c r="D106" s="1"/>
      <c r="E106" s="1"/>
      <c r="F106" s="1"/>
      <c r="G106" s="1"/>
      <c r="H106" s="1"/>
      <c r="I106" s="1">
        <v>0.0</v>
      </c>
      <c r="J106" s="3">
        <f>0/86400</f>
        <v>0</v>
      </c>
      <c r="K106" s="1"/>
      <c r="L106" s="1"/>
      <c r="M106" s="1" t="b">
        <v>1</v>
      </c>
      <c r="N106" s="1"/>
      <c r="O106" s="1" t="b">
        <v>1</v>
      </c>
      <c r="P106" s="1" t="s">
        <v>280</v>
      </c>
    </row>
    <row r="107" spans="1:16">
      <c r="A107" s="1">
        <v>116</v>
      </c>
      <c r="B107" s="1" t="s">
        <v>281</v>
      </c>
      <c r="C107" s="1" t="s">
        <v>32</v>
      </c>
      <c r="D107" s="1"/>
      <c r="E107" s="1"/>
      <c r="F107" s="1"/>
      <c r="G107" s="1"/>
      <c r="H107" s="1"/>
      <c r="I107" s="1">
        <v>0.0</v>
      </c>
      <c r="J107" s="3">
        <f>0/86400</f>
        <v>0</v>
      </c>
      <c r="K107" s="1"/>
      <c r="L107" s="1"/>
      <c r="M107" s="1" t="b">
        <v>1</v>
      </c>
      <c r="N107" s="1"/>
      <c r="O107" s="1" t="b">
        <v>1</v>
      </c>
      <c r="P107" s="1" t="s">
        <v>282</v>
      </c>
    </row>
    <row r="108" spans="1:16">
      <c r="A108" s="1">
        <v>119</v>
      </c>
      <c r="B108" s="1" t="s">
        <v>283</v>
      </c>
      <c r="C108" s="1" t="s">
        <v>35</v>
      </c>
      <c r="D108" s="1"/>
      <c r="E108" s="1"/>
      <c r="F108" s="1"/>
      <c r="G108" s="1"/>
      <c r="H108" s="1"/>
      <c r="I108" s="1">
        <v>0.0</v>
      </c>
      <c r="J108" s="3">
        <f>0/86400</f>
        <v>0</v>
      </c>
      <c r="K108" s="1"/>
      <c r="L108" s="1"/>
      <c r="M108" s="1" t="b">
        <v>1</v>
      </c>
      <c r="N108" s="1"/>
      <c r="O108" s="1" t="b">
        <v>1</v>
      </c>
      <c r="P108" s="1" t="s">
        <v>284</v>
      </c>
    </row>
    <row r="109" spans="1:16">
      <c r="A109" s="1">
        <v>120</v>
      </c>
      <c r="B109" s="1" t="s">
        <v>285</v>
      </c>
      <c r="C109" s="1" t="s">
        <v>35</v>
      </c>
      <c r="D109" s="1"/>
      <c r="E109" s="1"/>
      <c r="F109" s="1"/>
      <c r="G109" s="1"/>
      <c r="H109" s="1"/>
      <c r="I109" s="1">
        <v>0.0</v>
      </c>
      <c r="J109" s="3">
        <f>0/86400</f>
        <v>0</v>
      </c>
      <c r="K109" s="1"/>
      <c r="L109" s="1"/>
      <c r="M109" s="1" t="b">
        <v>1</v>
      </c>
      <c r="N109" s="1"/>
      <c r="O109" s="1" t="b">
        <v>1</v>
      </c>
      <c r="P109" s="1" t="s">
        <v>286</v>
      </c>
    </row>
    <row r="110" spans="1:16">
      <c r="A110" s="1">
        <v>122</v>
      </c>
      <c r="B110" s="1" t="s">
        <v>287</v>
      </c>
      <c r="C110" s="1" t="s">
        <v>288</v>
      </c>
      <c r="D110" s="1"/>
      <c r="E110" s="1"/>
      <c r="F110" s="1"/>
      <c r="G110" s="1"/>
      <c r="H110" s="1"/>
      <c r="I110" s="1">
        <v>0.0</v>
      </c>
      <c r="J110" s="3">
        <f>0/86400</f>
        <v>0</v>
      </c>
      <c r="K110" s="1"/>
      <c r="L110" s="1"/>
      <c r="M110" s="1" t="b">
        <v>1</v>
      </c>
      <c r="N110" s="1"/>
      <c r="O110" s="1" t="b">
        <v>1</v>
      </c>
      <c r="P110" s="1" t="s">
        <v>289</v>
      </c>
    </row>
    <row r="111" spans="1:16">
      <c r="A111" s="1">
        <v>123</v>
      </c>
      <c r="B111" s="1" t="s">
        <v>290</v>
      </c>
      <c r="C111" s="1" t="s">
        <v>291</v>
      </c>
      <c r="D111" s="1"/>
      <c r="E111" s="1"/>
      <c r="F111" s="1"/>
      <c r="G111" s="1"/>
      <c r="H111" s="1"/>
      <c r="I111" s="1">
        <v>0.0</v>
      </c>
      <c r="J111" s="3">
        <f>0/86400</f>
        <v>0</v>
      </c>
      <c r="K111" s="1"/>
      <c r="L111" s="1"/>
      <c r="M111" s="1" t="b">
        <v>1</v>
      </c>
      <c r="N111" s="1"/>
      <c r="O111" s="1" t="b">
        <v>1</v>
      </c>
      <c r="P111" s="1" t="s">
        <v>292</v>
      </c>
    </row>
    <row r="112" spans="1:16">
      <c r="A112" s="1">
        <v>125</v>
      </c>
      <c r="B112" s="1" t="s">
        <v>293</v>
      </c>
      <c r="C112" s="1" t="s">
        <v>294</v>
      </c>
      <c r="D112" s="1"/>
      <c r="E112" s="1"/>
      <c r="F112" s="1"/>
      <c r="G112" s="1"/>
      <c r="H112" s="1"/>
      <c r="I112" s="1">
        <v>0.0</v>
      </c>
      <c r="J112" s="3">
        <f>0/86400</f>
        <v>0</v>
      </c>
      <c r="K112" s="1"/>
      <c r="L112" s="1"/>
      <c r="M112" s="1" t="b">
        <v>1</v>
      </c>
      <c r="N112" s="1"/>
      <c r="O112" s="1" t="b">
        <v>1</v>
      </c>
      <c r="P112" s="1" t="s">
        <v>295</v>
      </c>
    </row>
    <row r="113" spans="1:16">
      <c r="A113" s="1">
        <v>136</v>
      </c>
      <c r="B113" s="1" t="s">
        <v>296</v>
      </c>
      <c r="C113" s="1" t="s">
        <v>297</v>
      </c>
      <c r="D113" s="1"/>
      <c r="E113" s="1"/>
      <c r="F113" s="1"/>
      <c r="G113" s="1"/>
      <c r="H113" s="1"/>
      <c r="I113" s="1">
        <v>0.0</v>
      </c>
      <c r="J113" s="3">
        <f>0/86400</f>
        <v>0</v>
      </c>
      <c r="K113" s="1"/>
      <c r="L113" s="1"/>
      <c r="M113" s="1" t="b">
        <v>1</v>
      </c>
      <c r="N113" s="1"/>
      <c r="O113" s="1" t="b">
        <v>1</v>
      </c>
      <c r="P113" s="1" t="s">
        <v>298</v>
      </c>
    </row>
    <row r="114" spans="1:16">
      <c r="A114" s="1">
        <v>137</v>
      </c>
      <c r="B114" s="1" t="s">
        <v>299</v>
      </c>
      <c r="C114" s="1" t="s">
        <v>35</v>
      </c>
      <c r="D114" s="1"/>
      <c r="E114" s="1"/>
      <c r="F114" s="1"/>
      <c r="G114" s="1"/>
      <c r="H114" s="1"/>
      <c r="I114" s="1">
        <v>0.0</v>
      </c>
      <c r="J114" s="3">
        <f>0/86400</f>
        <v>0</v>
      </c>
      <c r="K114" s="1"/>
      <c r="L114" s="1"/>
      <c r="M114" s="1" t="b">
        <v>1</v>
      </c>
      <c r="N114" s="1"/>
      <c r="O114" s="1" t="b">
        <v>1</v>
      </c>
      <c r="P114" s="1" t="s">
        <v>300</v>
      </c>
    </row>
    <row r="115" spans="1:16">
      <c r="A115" s="1">
        <v>140</v>
      </c>
      <c r="B115" s="1" t="s">
        <v>301</v>
      </c>
      <c r="C115" s="1" t="s">
        <v>302</v>
      </c>
      <c r="D115" s="1"/>
      <c r="E115" s="1"/>
      <c r="F115" s="1"/>
      <c r="G115" s="1"/>
      <c r="H115" s="1"/>
      <c r="I115" s="1">
        <v>0.0</v>
      </c>
      <c r="J115" s="3">
        <f>0/86400</f>
        <v>0</v>
      </c>
      <c r="K115" s="1"/>
      <c r="L115" s="1"/>
      <c r="M115" s="1" t="b">
        <v>1</v>
      </c>
      <c r="N115" s="1"/>
      <c r="O115" s="1" t="b">
        <v>1</v>
      </c>
      <c r="P115" s="1" t="s">
        <v>303</v>
      </c>
    </row>
    <row r="116" spans="1:16">
      <c r="A116" s="1">
        <v>139</v>
      </c>
      <c r="B116" s="1" t="s">
        <v>304</v>
      </c>
      <c r="C116" s="1" t="s">
        <v>302</v>
      </c>
      <c r="D116" s="1"/>
      <c r="E116" s="1"/>
      <c r="F116" s="1"/>
      <c r="G116" s="1"/>
      <c r="H116" s="1"/>
      <c r="I116" s="1">
        <v>0.0</v>
      </c>
      <c r="J116" s="3">
        <f>0/86400</f>
        <v>0</v>
      </c>
      <c r="K116" s="1"/>
      <c r="L116" s="1"/>
      <c r="M116" s="1" t="b">
        <v>1</v>
      </c>
      <c r="N116" s="1"/>
      <c r="O116" s="1" t="b">
        <v>1</v>
      </c>
      <c r="P116" s="1" t="s">
        <v>305</v>
      </c>
    </row>
    <row r="117" spans="1:16">
      <c r="A117" s="1">
        <v>141</v>
      </c>
      <c r="B117" s="1" t="s">
        <v>306</v>
      </c>
      <c r="C117" s="1" t="s">
        <v>32</v>
      </c>
      <c r="D117" s="1"/>
      <c r="E117" s="1"/>
      <c r="F117" s="1"/>
      <c r="G117" s="1"/>
      <c r="H117" s="1"/>
      <c r="I117" s="1">
        <v>0.0</v>
      </c>
      <c r="J117" s="3">
        <f>0/86400</f>
        <v>0</v>
      </c>
      <c r="K117" s="1"/>
      <c r="L117" s="1"/>
      <c r="M117" s="1" t="b">
        <v>1</v>
      </c>
      <c r="N117" s="1"/>
      <c r="O117" s="1" t="b">
        <v>1</v>
      </c>
      <c r="P117" s="1" t="s">
        <v>307</v>
      </c>
    </row>
    <row r="118" spans="1:16">
      <c r="A118" s="1">
        <v>142</v>
      </c>
      <c r="B118" s="1" t="s">
        <v>308</v>
      </c>
      <c r="C118" s="1" t="s">
        <v>32</v>
      </c>
      <c r="D118" s="1"/>
      <c r="E118" s="1"/>
      <c r="F118" s="1"/>
      <c r="G118" s="1"/>
      <c r="H118" s="1"/>
      <c r="I118" s="1">
        <v>0.0</v>
      </c>
      <c r="J118" s="3">
        <f>0/86400</f>
        <v>0</v>
      </c>
      <c r="K118" s="1"/>
      <c r="L118" s="1"/>
      <c r="M118" s="1" t="b">
        <v>1</v>
      </c>
      <c r="N118" s="1"/>
      <c r="O118" s="1" t="b">
        <v>1</v>
      </c>
      <c r="P118" s="1" t="s">
        <v>309</v>
      </c>
    </row>
    <row r="119" spans="1:16">
      <c r="A119" s="1">
        <v>146</v>
      </c>
      <c r="B119" s="1" t="s">
        <v>310</v>
      </c>
      <c r="C119" s="1" t="s">
        <v>235</v>
      </c>
      <c r="D119" s="1"/>
      <c r="E119" s="1"/>
      <c r="F119" s="1"/>
      <c r="G119" s="1"/>
      <c r="H119" s="1"/>
      <c r="I119" s="1">
        <v>0.0</v>
      </c>
      <c r="J119" s="3">
        <f>0/86400</f>
        <v>0</v>
      </c>
      <c r="K119" s="1"/>
      <c r="L119" s="1"/>
      <c r="M119" s="1" t="b">
        <v>1</v>
      </c>
      <c r="N119" s="1"/>
      <c r="O119" s="1" t="b">
        <v>1</v>
      </c>
      <c r="P119" s="1" t="s">
        <v>311</v>
      </c>
    </row>
    <row r="120" spans="1:16">
      <c r="A120" s="1">
        <v>156</v>
      </c>
      <c r="B120" s="1" t="s">
        <v>312</v>
      </c>
      <c r="C120" s="1" t="s">
        <v>302</v>
      </c>
      <c r="D120" s="1"/>
      <c r="E120" s="1"/>
      <c r="F120" s="1"/>
      <c r="G120" s="1"/>
      <c r="H120" s="1"/>
      <c r="I120" s="1">
        <v>0.0</v>
      </c>
      <c r="J120" s="3">
        <f>0/86400</f>
        <v>0</v>
      </c>
      <c r="K120" s="1"/>
      <c r="L120" s="1"/>
      <c r="M120" s="1" t="b">
        <v>1</v>
      </c>
      <c r="N120" s="1"/>
      <c r="O120" s="1" t="b">
        <v>1</v>
      </c>
      <c r="P120" s="1" t="s">
        <v>313</v>
      </c>
    </row>
    <row r="121" spans="1:16">
      <c r="A121" s="1">
        <v>157</v>
      </c>
      <c r="B121" s="1" t="s">
        <v>314</v>
      </c>
      <c r="C121" s="1" t="s">
        <v>23</v>
      </c>
      <c r="D121" s="1"/>
      <c r="E121" s="1"/>
      <c r="F121" s="1"/>
      <c r="G121" s="1"/>
      <c r="H121" s="1"/>
      <c r="I121" s="1">
        <v>0.0</v>
      </c>
      <c r="J121" s="3">
        <f>0/86400</f>
        <v>0</v>
      </c>
      <c r="K121" s="1"/>
      <c r="L121" s="1"/>
      <c r="M121" s="1" t="b">
        <v>1</v>
      </c>
      <c r="N121" s="1"/>
      <c r="O121" s="1" t="b">
        <v>1</v>
      </c>
      <c r="P121" s="1" t="s">
        <v>315</v>
      </c>
    </row>
    <row r="122" spans="1:16">
      <c r="A122" s="1">
        <v>161</v>
      </c>
      <c r="B122" s="1" t="s">
        <v>316</v>
      </c>
      <c r="C122" s="1" t="s">
        <v>23</v>
      </c>
      <c r="D122" s="1"/>
      <c r="E122" s="1"/>
      <c r="F122" s="1"/>
      <c r="G122" s="1"/>
      <c r="H122" s="1"/>
      <c r="I122" s="1">
        <v>1500.0</v>
      </c>
      <c r="J122" s="3">
        <f>86400/86400</f>
        <v>1</v>
      </c>
      <c r="K122" s="1"/>
      <c r="L122" s="1"/>
      <c r="M122" s="1" t="b">
        <v>1</v>
      </c>
      <c r="N122" s="1"/>
      <c r="O122" s="1" t="b">
        <v>1</v>
      </c>
      <c r="P122" s="1" t="s">
        <v>317</v>
      </c>
    </row>
    <row r="123" spans="1:16">
      <c r="A123" s="1">
        <v>103</v>
      </c>
      <c r="B123" s="1" t="s">
        <v>318</v>
      </c>
      <c r="C123" s="1" t="s">
        <v>319</v>
      </c>
      <c r="D123" s="1"/>
      <c r="E123" s="1"/>
      <c r="F123" s="1"/>
      <c r="G123" s="1"/>
      <c r="H123" s="1"/>
      <c r="I123" s="1">
        <v>5980.0</v>
      </c>
      <c r="J123" s="3">
        <f>216000/86400</f>
        <v>2.5</v>
      </c>
      <c r="K123" s="1"/>
      <c r="L123" s="1"/>
      <c r="M123" s="1" t="b">
        <v>1</v>
      </c>
      <c r="N123" s="1"/>
      <c r="O123" s="1" t="b">
        <v>1</v>
      </c>
      <c r="P123" s="1" t="s">
        <v>320</v>
      </c>
    </row>
    <row r="124" spans="1:16">
      <c r="A124" s="1">
        <v>104</v>
      </c>
      <c r="B124" s="1" t="s">
        <v>321</v>
      </c>
      <c r="C124" s="1" t="s">
        <v>322</v>
      </c>
      <c r="D124" s="1"/>
      <c r="E124" s="1"/>
      <c r="F124" s="1"/>
      <c r="G124" s="1"/>
      <c r="H124" s="1"/>
      <c r="I124" s="1">
        <v>0.0</v>
      </c>
      <c r="J124" s="3">
        <f>0/86400</f>
        <v>0</v>
      </c>
      <c r="K124" s="1"/>
      <c r="L124" s="1"/>
      <c r="M124" s="1" t="b">
        <v>1</v>
      </c>
      <c r="N124" s="1"/>
      <c r="O124" s="1" t="b">
        <v>1</v>
      </c>
      <c r="P124" s="1" t="s">
        <v>323</v>
      </c>
    </row>
    <row r="125" spans="1:16">
      <c r="A125" s="1">
        <v>105</v>
      </c>
      <c r="B125" s="1" t="s">
        <v>324</v>
      </c>
      <c r="C125" s="1" t="s">
        <v>325</v>
      </c>
      <c r="D125" s="1"/>
      <c r="E125" s="1"/>
      <c r="F125" s="1"/>
      <c r="G125" s="1"/>
      <c r="H125" s="1"/>
      <c r="I125" s="1">
        <v>0.0</v>
      </c>
      <c r="J125" s="3">
        <f>0/86400</f>
        <v>0</v>
      </c>
      <c r="K125" s="1"/>
      <c r="L125" s="1"/>
      <c r="M125" s="1" t="b">
        <v>1</v>
      </c>
      <c r="N125" s="1"/>
      <c r="O125" s="1" t="b">
        <v>1</v>
      </c>
      <c r="P125" s="1" t="s">
        <v>326</v>
      </c>
    </row>
    <row r="126" spans="1:16">
      <c r="A126" s="1">
        <v>106</v>
      </c>
      <c r="B126" s="1" t="s">
        <v>327</v>
      </c>
      <c r="C126" s="1" t="s">
        <v>328</v>
      </c>
      <c r="D126" s="1"/>
      <c r="E126" s="1"/>
      <c r="F126" s="1"/>
      <c r="G126" s="1"/>
      <c r="H126" s="1"/>
      <c r="I126" s="1">
        <v>3161.35</v>
      </c>
      <c r="J126" s="3">
        <f>89100/86400</f>
        <v>1.03125</v>
      </c>
      <c r="K126" s="1"/>
      <c r="L126" s="1"/>
      <c r="M126" s="1" t="b">
        <v>1</v>
      </c>
      <c r="N126" s="1"/>
      <c r="O126" s="1" t="b">
        <v>1</v>
      </c>
      <c r="P126" s="1" t="s">
        <v>329</v>
      </c>
    </row>
    <row r="127" spans="1:16">
      <c r="A127" s="1">
        <v>110</v>
      </c>
      <c r="B127" s="1" t="s">
        <v>330</v>
      </c>
      <c r="C127" s="1" t="s">
        <v>331</v>
      </c>
      <c r="D127" s="1"/>
      <c r="E127" s="1"/>
      <c r="F127" s="1"/>
      <c r="G127" s="1"/>
      <c r="H127" s="1"/>
      <c r="I127" s="1">
        <v>5980.0</v>
      </c>
      <c r="J127" s="3">
        <f>205200/86400</f>
        <v>2.375</v>
      </c>
      <c r="K127" s="1"/>
      <c r="L127" s="1"/>
      <c r="M127" s="1" t="b">
        <v>1</v>
      </c>
      <c r="N127" s="1"/>
      <c r="O127" s="1" t="b">
        <v>1</v>
      </c>
      <c r="P127" s="1" t="s">
        <v>332</v>
      </c>
    </row>
    <row r="128" spans="1:16">
      <c r="A128" s="1">
        <v>111</v>
      </c>
      <c r="B128" s="1" t="s">
        <v>333</v>
      </c>
      <c r="C128" s="1" t="s">
        <v>334</v>
      </c>
      <c r="D128" s="1"/>
      <c r="E128" s="1"/>
      <c r="F128" s="1"/>
      <c r="G128" s="1"/>
      <c r="H128" s="1"/>
      <c r="I128" s="1">
        <v>1696.0</v>
      </c>
      <c r="J128" s="3">
        <f>55800/86400</f>
        <v>0.64583333333333</v>
      </c>
      <c r="K128" s="1"/>
      <c r="L128" s="1"/>
      <c r="M128" s="1" t="b">
        <v>1</v>
      </c>
      <c r="N128" s="1"/>
      <c r="O128" s="1" t="b">
        <v>1</v>
      </c>
      <c r="P128" s="1" t="s">
        <v>335</v>
      </c>
    </row>
    <row r="129" spans="1:16">
      <c r="A129" s="1">
        <v>107</v>
      </c>
      <c r="B129" s="1" t="s">
        <v>336</v>
      </c>
      <c r="C129" s="1" t="s">
        <v>337</v>
      </c>
      <c r="D129" s="1"/>
      <c r="E129" s="1"/>
      <c r="F129" s="1"/>
      <c r="G129" s="1"/>
      <c r="H129" s="1"/>
      <c r="I129" s="1">
        <v>779.73</v>
      </c>
      <c r="J129" s="3">
        <f>25200/86400</f>
        <v>0.29166666666667</v>
      </c>
      <c r="K129" s="1"/>
      <c r="L129" s="1"/>
      <c r="M129" s="1" t="b">
        <v>1</v>
      </c>
      <c r="N129" s="1"/>
      <c r="O129" s="1" t="b">
        <v>1</v>
      </c>
      <c r="P129" s="1" t="s">
        <v>338</v>
      </c>
    </row>
    <row r="130" spans="1:16">
      <c r="A130" s="1">
        <v>164</v>
      </c>
      <c r="B130" s="1" t="s">
        <v>339</v>
      </c>
      <c r="C130" s="1" t="s">
        <v>340</v>
      </c>
      <c r="D130" s="1"/>
      <c r="E130" s="1"/>
      <c r="F130" s="1"/>
      <c r="G130" s="1"/>
      <c r="H130" s="1"/>
      <c r="I130" s="1">
        <v>860.0</v>
      </c>
      <c r="J130" s="3">
        <f>26100/86400</f>
        <v>0.30208333333333</v>
      </c>
      <c r="K130" s="1"/>
      <c r="L130" s="1"/>
      <c r="M130" s="1" t="b">
        <v>1</v>
      </c>
      <c r="N130" s="1"/>
      <c r="O130" s="1" t="b">
        <v>1</v>
      </c>
      <c r="P130" s="1" t="s">
        <v>341</v>
      </c>
    </row>
    <row r="131" spans="1:16">
      <c r="A131" s="1">
        <v>112</v>
      </c>
      <c r="B131" s="1" t="s">
        <v>342</v>
      </c>
      <c r="C131" s="1" t="s">
        <v>343</v>
      </c>
      <c r="D131" s="1"/>
      <c r="E131" s="1"/>
      <c r="F131" s="1"/>
      <c r="G131" s="1"/>
      <c r="H131" s="1"/>
      <c r="I131" s="1">
        <v>0.0</v>
      </c>
      <c r="J131" s="3">
        <f>0/86400</f>
        <v>0</v>
      </c>
      <c r="K131" s="1"/>
      <c r="L131" s="1"/>
      <c r="M131" s="1" t="b">
        <v>1</v>
      </c>
      <c r="N131" s="1"/>
      <c r="O131" s="1" t="b">
        <v>1</v>
      </c>
      <c r="P131" s="1" t="s">
        <v>344</v>
      </c>
    </row>
    <row r="132" spans="1:16">
      <c r="A132" s="1">
        <v>113</v>
      </c>
      <c r="B132" s="1" t="s">
        <v>345</v>
      </c>
      <c r="C132" s="1" t="s">
        <v>346</v>
      </c>
      <c r="D132" s="1"/>
      <c r="E132" s="1"/>
      <c r="F132" s="1"/>
      <c r="G132" s="1"/>
      <c r="H132" s="1"/>
      <c r="I132" s="1">
        <v>4302.85</v>
      </c>
      <c r="J132" s="3">
        <f>122400/86400</f>
        <v>1.4166666666667</v>
      </c>
      <c r="K132" s="1"/>
      <c r="L132" s="1"/>
      <c r="M132" s="1" t="b">
        <v>1</v>
      </c>
      <c r="N132" s="1"/>
      <c r="O132" s="1" t="b">
        <v>1</v>
      </c>
      <c r="P132" s="1" t="s">
        <v>347</v>
      </c>
    </row>
    <row r="133" spans="1:16">
      <c r="A133" s="1">
        <v>114</v>
      </c>
      <c r="B133" s="1" t="s">
        <v>348</v>
      </c>
      <c r="C133" s="1" t="s">
        <v>68</v>
      </c>
      <c r="D133" s="1"/>
      <c r="E133" s="1"/>
      <c r="F133" s="1"/>
      <c r="G133" s="1"/>
      <c r="H133" s="1"/>
      <c r="I133" s="1">
        <v>0.0</v>
      </c>
      <c r="J133" s="3">
        <f>0/86400</f>
        <v>0</v>
      </c>
      <c r="K133" s="1"/>
      <c r="L133" s="1"/>
      <c r="M133" s="1" t="b">
        <v>1</v>
      </c>
      <c r="N133" s="1"/>
      <c r="O133" s="1" t="b">
        <v>1</v>
      </c>
      <c r="P133" s="1" t="s">
        <v>349</v>
      </c>
    </row>
    <row r="134" spans="1:16">
      <c r="A134" s="1">
        <v>149</v>
      </c>
      <c r="B134" s="1" t="s">
        <v>350</v>
      </c>
      <c r="C134" s="1" t="s">
        <v>328</v>
      </c>
      <c r="D134" s="1"/>
      <c r="E134" s="1"/>
      <c r="F134" s="1"/>
      <c r="G134" s="1"/>
      <c r="H134" s="1"/>
      <c r="I134" s="1">
        <v>2660.6</v>
      </c>
      <c r="J134" s="3">
        <f>64800/86400</f>
        <v>0.75</v>
      </c>
      <c r="K134" s="1"/>
      <c r="L134" s="1"/>
      <c r="M134" s="1" t="b">
        <v>1</v>
      </c>
      <c r="N134" s="1"/>
      <c r="O134" s="1" t="b">
        <v>1</v>
      </c>
      <c r="P134" s="1" t="s">
        <v>351</v>
      </c>
    </row>
    <row r="135" spans="1:16">
      <c r="A135" s="1">
        <v>148</v>
      </c>
      <c r="B135" s="1" t="s">
        <v>352</v>
      </c>
      <c r="C135" s="1" t="s">
        <v>353</v>
      </c>
      <c r="D135" s="1"/>
      <c r="E135" s="1"/>
      <c r="F135" s="1"/>
      <c r="G135" s="1"/>
      <c r="H135" s="1"/>
      <c r="I135" s="1">
        <v>1149.0</v>
      </c>
      <c r="J135" s="3">
        <f>41400/86400</f>
        <v>0.47916666666667</v>
      </c>
      <c r="K135" s="1"/>
      <c r="L135" s="1"/>
      <c r="M135" s="1" t="b">
        <v>1</v>
      </c>
      <c r="N135" s="1"/>
      <c r="O135" s="1" t="b">
        <v>1</v>
      </c>
      <c r="P135" s="1" t="s">
        <v>354</v>
      </c>
    </row>
    <row r="136" spans="1:16">
      <c r="A136" s="1">
        <v>118</v>
      </c>
      <c r="B136" s="1" t="s">
        <v>355</v>
      </c>
      <c r="C136" s="1" t="s">
        <v>302</v>
      </c>
      <c r="D136" s="1"/>
      <c r="E136" s="1"/>
      <c r="F136" s="1"/>
      <c r="G136" s="1"/>
      <c r="H136" s="1"/>
      <c r="I136" s="1">
        <v>5667.0</v>
      </c>
      <c r="J136" s="3">
        <f>126000/86400</f>
        <v>1.4583333333333</v>
      </c>
      <c r="K136" s="1"/>
      <c r="L136" s="1"/>
      <c r="M136" s="1" t="b">
        <v>1</v>
      </c>
      <c r="N136" s="1"/>
      <c r="O136" s="1" t="b">
        <v>1</v>
      </c>
      <c r="P136" s="1" t="s">
        <v>356</v>
      </c>
    </row>
    <row r="137" spans="1:16">
      <c r="A137" s="1">
        <v>165</v>
      </c>
      <c r="B137" s="1" t="s">
        <v>357</v>
      </c>
      <c r="C137" s="1" t="s">
        <v>264</v>
      </c>
      <c r="D137" s="1"/>
      <c r="E137" s="1"/>
      <c r="F137" s="1"/>
      <c r="G137" s="1"/>
      <c r="H137" s="1"/>
      <c r="I137" s="1">
        <v>0.0</v>
      </c>
      <c r="J137" s="3">
        <f>0/86400</f>
        <v>0</v>
      </c>
      <c r="K137" s="1"/>
      <c r="L137" s="1"/>
      <c r="M137" s="1" t="b">
        <v>1</v>
      </c>
      <c r="N137" s="1"/>
      <c r="O137" s="1" t="b">
        <v>1</v>
      </c>
      <c r="P137" s="1" t="s">
        <v>358</v>
      </c>
    </row>
    <row r="138" spans="1:16">
      <c r="A138" s="1">
        <v>117</v>
      </c>
      <c r="B138" s="1" t="s">
        <v>359</v>
      </c>
      <c r="C138" s="1" t="s">
        <v>294</v>
      </c>
      <c r="D138" s="1"/>
      <c r="E138" s="1"/>
      <c r="F138" s="1"/>
      <c r="G138" s="1"/>
      <c r="H138" s="1"/>
      <c r="I138" s="1">
        <v>0.0</v>
      </c>
      <c r="J138" s="3">
        <f>0/86400</f>
        <v>0</v>
      </c>
      <c r="K138" s="1"/>
      <c r="L138" s="1"/>
      <c r="M138" s="1" t="b">
        <v>1</v>
      </c>
      <c r="N138" s="1"/>
      <c r="O138" s="1" t="b">
        <v>1</v>
      </c>
      <c r="P138" s="1" t="s">
        <v>360</v>
      </c>
    </row>
    <row r="139" spans="1:16">
      <c r="A139" s="1">
        <v>121</v>
      </c>
      <c r="B139" s="1" t="s">
        <v>361</v>
      </c>
      <c r="C139" s="1" t="s">
        <v>362</v>
      </c>
      <c r="D139" s="1"/>
      <c r="E139" s="1"/>
      <c r="F139" s="1"/>
      <c r="G139" s="1"/>
      <c r="H139" s="1"/>
      <c r="I139" s="1">
        <v>0.0</v>
      </c>
      <c r="J139" s="3">
        <f>0/86400</f>
        <v>0</v>
      </c>
      <c r="K139" s="1"/>
      <c r="L139" s="1"/>
      <c r="M139" s="1" t="b">
        <v>1</v>
      </c>
      <c r="N139" s="1"/>
      <c r="O139" s="1" t="b">
        <v>1</v>
      </c>
      <c r="P139" s="1" t="s">
        <v>363</v>
      </c>
    </row>
    <row r="140" spans="1:16">
      <c r="A140" s="1">
        <v>124</v>
      </c>
      <c r="B140" s="1" t="s">
        <v>364</v>
      </c>
      <c r="C140" s="1" t="s">
        <v>365</v>
      </c>
      <c r="D140" s="1"/>
      <c r="E140" s="1"/>
      <c r="F140" s="1"/>
      <c r="G140" s="1"/>
      <c r="H140" s="1"/>
      <c r="I140" s="1">
        <v>0.0</v>
      </c>
      <c r="J140" s="3">
        <f>0/86400</f>
        <v>0</v>
      </c>
      <c r="K140" s="1"/>
      <c r="L140" s="1"/>
      <c r="M140" s="1" t="b">
        <v>1</v>
      </c>
      <c r="N140" s="1"/>
      <c r="O140" s="1" t="b">
        <v>1</v>
      </c>
      <c r="P140" s="1" t="s">
        <v>366</v>
      </c>
    </row>
    <row r="141" spans="1:16">
      <c r="A141" s="1">
        <v>166</v>
      </c>
      <c r="B141" s="1" t="s">
        <v>367</v>
      </c>
      <c r="C141" s="1" t="s">
        <v>84</v>
      </c>
      <c r="D141" s="1"/>
      <c r="E141" s="1"/>
      <c r="F141" s="1"/>
      <c r="G141" s="1"/>
      <c r="H141" s="1"/>
      <c r="I141" s="1">
        <v>0.0</v>
      </c>
      <c r="J141" s="3">
        <f>0/86400</f>
        <v>0</v>
      </c>
      <c r="K141" s="1"/>
      <c r="L141" s="1"/>
      <c r="M141" s="1" t="b">
        <v>1</v>
      </c>
      <c r="N141" s="1"/>
      <c r="O141" s="1" t="b">
        <v>1</v>
      </c>
      <c r="P141" s="1" t="s">
        <v>368</v>
      </c>
    </row>
    <row r="142" spans="1:16">
      <c r="A142" s="1">
        <v>150</v>
      </c>
      <c r="B142" s="1" t="s">
        <v>369</v>
      </c>
      <c r="C142" s="1" t="s">
        <v>219</v>
      </c>
      <c r="D142" s="1"/>
      <c r="E142" s="1"/>
      <c r="F142" s="1"/>
      <c r="G142" s="1"/>
      <c r="H142" s="1"/>
      <c r="I142" s="1">
        <v>2237.82</v>
      </c>
      <c r="J142" s="3">
        <f>28800/86400</f>
        <v>0.33333333333333</v>
      </c>
      <c r="K142" s="1"/>
      <c r="L142" s="1"/>
      <c r="M142" s="1" t="b">
        <v>1</v>
      </c>
      <c r="N142" s="1"/>
      <c r="O142" s="1" t="b">
        <v>1</v>
      </c>
      <c r="P142" s="1" t="s">
        <v>370</v>
      </c>
    </row>
    <row r="143" spans="1:16">
      <c r="A143" s="1">
        <v>133</v>
      </c>
      <c r="B143" s="1" t="s">
        <v>371</v>
      </c>
      <c r="C143" s="1" t="s">
        <v>372</v>
      </c>
      <c r="D143" s="1"/>
      <c r="E143" s="1"/>
      <c r="F143" s="1"/>
      <c r="G143" s="1"/>
      <c r="H143" s="1"/>
      <c r="I143" s="1">
        <v>0.0</v>
      </c>
      <c r="J143" s="3">
        <f>0/86400</f>
        <v>0</v>
      </c>
      <c r="K143" s="1"/>
      <c r="L143" s="1"/>
      <c r="M143" s="1" t="b">
        <v>1</v>
      </c>
      <c r="N143" s="1"/>
      <c r="O143" s="1" t="b">
        <v>1</v>
      </c>
      <c r="P143" s="1" t="s">
        <v>373</v>
      </c>
    </row>
    <row r="144" spans="1:16">
      <c r="A144" s="1">
        <v>132</v>
      </c>
      <c r="B144" s="1" t="s">
        <v>374</v>
      </c>
      <c r="C144" s="1" t="s">
        <v>76</v>
      </c>
      <c r="D144" s="1"/>
      <c r="E144" s="1"/>
      <c r="F144" s="1"/>
      <c r="G144" s="1"/>
      <c r="H144" s="1"/>
      <c r="I144" s="1">
        <v>0.0</v>
      </c>
      <c r="J144" s="3">
        <f>0/86400</f>
        <v>0</v>
      </c>
      <c r="K144" s="1"/>
      <c r="L144" s="1"/>
      <c r="M144" s="1" t="b">
        <v>1</v>
      </c>
      <c r="N144" s="1"/>
      <c r="O144" s="1" t="b">
        <v>1</v>
      </c>
      <c r="P144" s="1" t="s">
        <v>375</v>
      </c>
    </row>
    <row r="145" spans="1:16">
      <c r="A145" s="1">
        <v>134</v>
      </c>
      <c r="B145" s="1" t="s">
        <v>376</v>
      </c>
      <c r="C145" s="1" t="s">
        <v>377</v>
      </c>
      <c r="D145" s="1"/>
      <c r="E145" s="1"/>
      <c r="F145" s="1"/>
      <c r="G145" s="1"/>
      <c r="H145" s="1"/>
      <c r="I145" s="1">
        <v>0.0</v>
      </c>
      <c r="J145" s="3">
        <f>0/86400</f>
        <v>0</v>
      </c>
      <c r="K145" s="1"/>
      <c r="L145" s="1"/>
      <c r="M145" s="1" t="b">
        <v>1</v>
      </c>
      <c r="N145" s="1"/>
      <c r="O145" s="1" t="b">
        <v>1</v>
      </c>
      <c r="P145" s="1" t="s">
        <v>378</v>
      </c>
    </row>
    <row r="146" spans="1:16">
      <c r="A146" s="1">
        <v>135</v>
      </c>
      <c r="B146" s="1" t="s">
        <v>379</v>
      </c>
      <c r="C146" s="1" t="s">
        <v>380</v>
      </c>
      <c r="D146" s="1"/>
      <c r="E146" s="1"/>
      <c r="F146" s="1"/>
      <c r="G146" s="1"/>
      <c r="H146" s="1"/>
      <c r="I146" s="1">
        <v>0.0</v>
      </c>
      <c r="J146" s="3">
        <f>0/86400</f>
        <v>0</v>
      </c>
      <c r="K146" s="1"/>
      <c r="L146" s="1"/>
      <c r="M146" s="1" t="b">
        <v>1</v>
      </c>
      <c r="N146" s="1"/>
      <c r="O146" s="1" t="b">
        <v>1</v>
      </c>
      <c r="P146" s="1" t="s">
        <v>381</v>
      </c>
    </row>
    <row r="147" spans="1:16">
      <c r="A147" s="1">
        <v>138</v>
      </c>
      <c r="B147" s="1" t="s">
        <v>382</v>
      </c>
      <c r="C147" s="1" t="s">
        <v>383</v>
      </c>
      <c r="D147" s="1"/>
      <c r="E147" s="1"/>
      <c r="F147" s="1"/>
      <c r="G147" s="1"/>
      <c r="H147" s="1"/>
      <c r="I147" s="1">
        <v>0.0</v>
      </c>
      <c r="J147" s="3">
        <f>0/86400</f>
        <v>0</v>
      </c>
      <c r="K147" s="1"/>
      <c r="L147" s="1"/>
      <c r="M147" s="1" t="b">
        <v>1</v>
      </c>
      <c r="N147" s="1"/>
      <c r="O147" s="1" t="b">
        <v>1</v>
      </c>
      <c r="P147" s="1" t="s">
        <v>384</v>
      </c>
    </row>
    <row r="148" spans="1:16">
      <c r="A148" s="1">
        <v>143</v>
      </c>
      <c r="B148" s="1" t="s">
        <v>385</v>
      </c>
      <c r="C148" s="1" t="s">
        <v>386</v>
      </c>
      <c r="D148" s="1"/>
      <c r="E148" s="1"/>
      <c r="F148" s="1"/>
      <c r="G148" s="1"/>
      <c r="H148" s="1"/>
      <c r="I148" s="1">
        <v>0.0</v>
      </c>
      <c r="J148" s="3">
        <f>0/86400</f>
        <v>0</v>
      </c>
      <c r="K148" s="1"/>
      <c r="L148" s="1"/>
      <c r="M148" s="1" t="b">
        <v>1</v>
      </c>
      <c r="N148" s="1"/>
      <c r="O148" s="1" t="b">
        <v>1</v>
      </c>
      <c r="P148" s="1" t="s">
        <v>387</v>
      </c>
    </row>
    <row r="149" spans="1:16">
      <c r="A149" s="1">
        <v>144</v>
      </c>
      <c r="B149" s="1" t="s">
        <v>388</v>
      </c>
      <c r="C149" s="1" t="s">
        <v>389</v>
      </c>
      <c r="D149" s="1"/>
      <c r="E149" s="1"/>
      <c r="F149" s="1"/>
      <c r="G149" s="1"/>
      <c r="H149" s="1"/>
      <c r="I149" s="1">
        <v>0.0</v>
      </c>
      <c r="J149" s="3">
        <f>0/86400</f>
        <v>0</v>
      </c>
      <c r="K149" s="1"/>
      <c r="L149" s="1"/>
      <c r="M149" s="1" t="b">
        <v>1</v>
      </c>
      <c r="N149" s="1"/>
      <c r="O149" s="1" t="b">
        <v>1</v>
      </c>
      <c r="P149" s="1" t="s">
        <v>390</v>
      </c>
    </row>
    <row r="150" spans="1:16">
      <c r="A150" s="1">
        <v>145</v>
      </c>
      <c r="B150" s="1" t="s">
        <v>391</v>
      </c>
      <c r="C150" s="1" t="s">
        <v>259</v>
      </c>
      <c r="D150" s="1"/>
      <c r="E150" s="1"/>
      <c r="F150" s="1"/>
      <c r="G150" s="1"/>
      <c r="H150" s="1"/>
      <c r="I150" s="1">
        <v>0.0</v>
      </c>
      <c r="J150" s="3">
        <f>0/86400</f>
        <v>0</v>
      </c>
      <c r="K150" s="1"/>
      <c r="L150" s="1"/>
      <c r="M150" s="1" t="b">
        <v>1</v>
      </c>
      <c r="N150" s="1"/>
      <c r="O150" s="1" t="b">
        <v>1</v>
      </c>
      <c r="P150" s="1" t="s">
        <v>392</v>
      </c>
    </row>
    <row r="151" spans="1:16">
      <c r="A151" s="1">
        <v>153</v>
      </c>
      <c r="B151" s="1" t="s">
        <v>393</v>
      </c>
      <c r="C151" s="1" t="s">
        <v>394</v>
      </c>
      <c r="D151" s="1"/>
      <c r="E151" s="1"/>
      <c r="F151" s="1"/>
      <c r="G151" s="1"/>
      <c r="H151" s="1"/>
      <c r="I151" s="1">
        <v>1276.0</v>
      </c>
      <c r="J151" s="3">
        <f>45900/86400</f>
        <v>0.53125</v>
      </c>
      <c r="K151" s="1"/>
      <c r="L151" s="1"/>
      <c r="M151" s="1" t="b">
        <v>1</v>
      </c>
      <c r="N151" s="1"/>
      <c r="O151" s="1" t="b">
        <v>1</v>
      </c>
      <c r="P151" s="1" t="s">
        <v>395</v>
      </c>
    </row>
    <row r="152" spans="1:16">
      <c r="A152" s="1">
        <v>152</v>
      </c>
      <c r="B152" s="1" t="s">
        <v>396</v>
      </c>
      <c r="C152" s="1" t="s">
        <v>353</v>
      </c>
      <c r="D152" s="1"/>
      <c r="E152" s="1"/>
      <c r="F152" s="1"/>
      <c r="G152" s="1"/>
      <c r="H152" s="1"/>
      <c r="I152" s="1">
        <v>1335.84</v>
      </c>
      <c r="J152" s="3">
        <f>46800/86400</f>
        <v>0.54166666666667</v>
      </c>
      <c r="K152" s="1"/>
      <c r="L152" s="1"/>
      <c r="M152" s="1" t="b">
        <v>1</v>
      </c>
      <c r="N152" s="1"/>
      <c r="O152" s="1" t="b">
        <v>1</v>
      </c>
      <c r="P152" s="1" t="s">
        <v>397</v>
      </c>
    </row>
    <row r="153" spans="1:16">
      <c r="A153" s="1">
        <v>154</v>
      </c>
      <c r="B153" s="1" t="s">
        <v>398</v>
      </c>
      <c r="C153" s="1" t="s">
        <v>394</v>
      </c>
      <c r="D153" s="1"/>
      <c r="E153" s="1"/>
      <c r="F153" s="1"/>
      <c r="G153" s="1"/>
      <c r="H153" s="1"/>
      <c r="I153" s="1">
        <v>983.0</v>
      </c>
      <c r="J153" s="3">
        <f>38700/86400</f>
        <v>0.44791666666667</v>
      </c>
      <c r="K153" s="1"/>
      <c r="L153" s="1"/>
      <c r="M153" s="1" t="b">
        <v>1</v>
      </c>
      <c r="N153" s="1"/>
      <c r="O153" s="1" t="b">
        <v>1</v>
      </c>
      <c r="P153" s="1" t="s">
        <v>399</v>
      </c>
    </row>
    <row r="154" spans="1:16">
      <c r="A154" s="1">
        <v>155</v>
      </c>
      <c r="B154" s="1" t="s">
        <v>400</v>
      </c>
      <c r="C154" s="1" t="s">
        <v>302</v>
      </c>
      <c r="D154" s="1"/>
      <c r="E154" s="1"/>
      <c r="F154" s="1"/>
      <c r="G154" s="1"/>
      <c r="H154" s="1"/>
      <c r="I154" s="1">
        <v>3825.0</v>
      </c>
      <c r="J154" s="3">
        <f>90000/86400</f>
        <v>1.0416666666667</v>
      </c>
      <c r="K154" s="1"/>
      <c r="L154" s="1"/>
      <c r="M154" s="1" t="b">
        <v>1</v>
      </c>
      <c r="N154" s="1"/>
      <c r="O154" s="1" t="b">
        <v>1</v>
      </c>
      <c r="P154" s="1" t="s">
        <v>401</v>
      </c>
    </row>
    <row r="155" spans="1:16">
      <c r="A155" s="1">
        <v>159</v>
      </c>
      <c r="B155" s="1" t="s">
        <v>402</v>
      </c>
      <c r="C155" s="1" t="s">
        <v>302</v>
      </c>
      <c r="D155" s="1"/>
      <c r="E155" s="1"/>
      <c r="F155" s="1"/>
      <c r="G155" s="1"/>
      <c r="H155" s="1"/>
      <c r="I155" s="1">
        <v>5566.67</v>
      </c>
      <c r="J155" s="3">
        <f>0/86400</f>
        <v>0</v>
      </c>
      <c r="K155" s="1"/>
      <c r="L155" s="1"/>
      <c r="M155" s="1" t="b">
        <v>1</v>
      </c>
      <c r="N155" s="1"/>
      <c r="O155" s="1" t="b">
        <v>1</v>
      </c>
      <c r="P155" s="1" t="s">
        <v>403</v>
      </c>
    </row>
    <row r="156" spans="1:16">
      <c r="A156" s="1">
        <v>160</v>
      </c>
      <c r="B156" s="1" t="s">
        <v>404</v>
      </c>
      <c r="C156" s="1" t="s">
        <v>405</v>
      </c>
      <c r="D156" s="1"/>
      <c r="E156" s="1"/>
      <c r="F156" s="1"/>
      <c r="G156" s="1"/>
      <c r="H156" s="1"/>
      <c r="I156" s="1">
        <v>0.0</v>
      </c>
      <c r="J156" s="3">
        <f>0/86400</f>
        <v>0</v>
      </c>
      <c r="K156" s="1"/>
      <c r="L156" s="1"/>
      <c r="M156" s="1" t="b">
        <v>1</v>
      </c>
      <c r="N156" s="1"/>
      <c r="O156" s="1" t="b">
        <v>1</v>
      </c>
      <c r="P156" s="1" t="s">
        <v>406</v>
      </c>
    </row>
    <row r="157" spans="1:16">
      <c r="A157" s="1">
        <v>167</v>
      </c>
      <c r="B157" s="1" t="s">
        <v>407</v>
      </c>
      <c r="C157" s="1" t="s">
        <v>408</v>
      </c>
      <c r="D157" s="1"/>
      <c r="E157" s="1"/>
      <c r="F157" s="1"/>
      <c r="G157" s="1"/>
      <c r="H157" s="1"/>
      <c r="I157" s="1">
        <v>0.0</v>
      </c>
      <c r="J157" s="3">
        <f>0/86400</f>
        <v>0</v>
      </c>
      <c r="K157" s="1"/>
      <c r="L157" s="1"/>
      <c r="M157" s="1" t="b">
        <v>1</v>
      </c>
      <c r="N157" s="1"/>
      <c r="O157" s="1" t="b">
        <v>1</v>
      </c>
      <c r="P157" s="1" t="s">
        <v>409</v>
      </c>
    </row>
    <row r="158" spans="1:16">
      <c r="A158" s="1">
        <v>162</v>
      </c>
      <c r="B158" s="1" t="s">
        <v>410</v>
      </c>
      <c r="C158" s="1" t="s">
        <v>411</v>
      </c>
      <c r="D158" s="1"/>
      <c r="E158" s="1"/>
      <c r="F158" s="1"/>
      <c r="G158" s="1"/>
      <c r="H158" s="1"/>
      <c r="I158" s="1">
        <v>0.0</v>
      </c>
      <c r="J158" s="3">
        <f>0/86400</f>
        <v>0</v>
      </c>
      <c r="K158" s="1"/>
      <c r="L158" s="1"/>
      <c r="M158" s="1" t="b">
        <v>1</v>
      </c>
      <c r="N158" s="1"/>
      <c r="O158" s="1" t="b">
        <v>1</v>
      </c>
      <c r="P158" s="1" t="s">
        <v>412</v>
      </c>
    </row>
    <row r="159" spans="1:16">
      <c r="A159" s="1">
        <v>163</v>
      </c>
      <c r="B159" s="1" t="s">
        <v>413</v>
      </c>
      <c r="C159" s="1" t="s">
        <v>414</v>
      </c>
      <c r="D159" s="1"/>
      <c r="E159" s="1"/>
      <c r="F159" s="1"/>
      <c r="G159" s="1"/>
      <c r="H159" s="1"/>
      <c r="I159" s="1">
        <v>0.0</v>
      </c>
      <c r="J159" s="3">
        <f>0/86400</f>
        <v>0</v>
      </c>
      <c r="K159" s="1"/>
      <c r="L159" s="1"/>
      <c r="M159" s="1" t="b">
        <v>1</v>
      </c>
      <c r="N159" s="1"/>
      <c r="O159" s="1" t="b">
        <v>1</v>
      </c>
      <c r="P159" s="1" t="s">
        <v>415</v>
      </c>
    </row>
    <row r="160" spans="1:16">
      <c r="A160" s="1">
        <v>17</v>
      </c>
      <c r="B160" s="1" t="s">
        <v>416</v>
      </c>
      <c r="C160" s="1" t="s">
        <v>35</v>
      </c>
      <c r="D160" s="1"/>
      <c r="E160" s="1"/>
      <c r="F160" s="1"/>
      <c r="G160" s="1"/>
      <c r="H160" s="1"/>
      <c r="I160" s="1">
        <v>0.0</v>
      </c>
      <c r="J160" s="3">
        <f>0/86400</f>
        <v>0</v>
      </c>
      <c r="K160" s="1"/>
      <c r="L160" s="1"/>
      <c r="M160" s="1" t="b">
        <v>1</v>
      </c>
      <c r="N160" s="1"/>
      <c r="O160" s="1" t="b">
        <v>1</v>
      </c>
      <c r="P160" s="1" t="s">
        <v>417</v>
      </c>
    </row>
    <row r="161" spans="1:16">
      <c r="A161" s="1">
        <v>27</v>
      </c>
      <c r="B161" s="1" t="s">
        <v>418</v>
      </c>
      <c r="C161" s="1" t="s">
        <v>32</v>
      </c>
      <c r="D161" s="1"/>
      <c r="E161" s="1"/>
      <c r="F161" s="1"/>
      <c r="G161" s="1"/>
      <c r="H161" s="1"/>
      <c r="I161" s="1">
        <v>0.0</v>
      </c>
      <c r="J161" s="3">
        <f>0/86400</f>
        <v>0</v>
      </c>
      <c r="K161" s="1"/>
      <c r="L161" s="1"/>
      <c r="M161" s="1" t="b">
        <v>1</v>
      </c>
      <c r="N161" s="1"/>
      <c r="O161" s="1" t="b">
        <v>1</v>
      </c>
      <c r="P161" s="1" t="s">
        <v>419</v>
      </c>
    </row>
  </sheetData>
  <autoFilter ref="A1:P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2026-09-20T15:29:07+02:00</dcterms:created>
  <dcterms:modified xsi:type="dcterms:W3CDTF">2026-09-20T15:29:07+02:00</dcterms:modified>
  <dc:title>Untitled Spreadsheet</dc:title>
  <dc:description/>
  <dc:subject/>
  <cp:keywords/>
  <cp:category/>
</cp:coreProperties>
</file>