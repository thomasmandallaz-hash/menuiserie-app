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28c5acfa00702c49/Documents/ABC/Inventaire stocks/"/>
    </mc:Choice>
  </mc:AlternateContent>
  <xr:revisionPtr revIDLastSave="99" documentId="13_ncr:1_{6BF5F703-930A-4056-9F54-3E8A0F43DEA0}" xr6:coauthVersionLast="47" xr6:coauthVersionMax="47" xr10:uidLastSave="{CC39E355-CB97-4BF1-9CB1-07BF237B80F9}"/>
  <bookViews>
    <workbookView xWindow="28680" yWindow="-210" windowWidth="29040" windowHeight="15720" firstSheet="6" activeTab="10" xr2:uid="{00000000-000D-0000-FFFF-FFFF00000000}"/>
  </bookViews>
  <sheets>
    <sheet name="Inventaire au 31,12,16" sheetId="4" r:id="rId1"/>
    <sheet name="Inventaire au 31,12,17" sheetId="1" r:id="rId2"/>
    <sheet name="Inventaire au 31,12,18" sheetId="6" r:id="rId3"/>
    <sheet name="Inventaire stock" sheetId="8" r:id="rId4"/>
    <sheet name="Inventaire pour bilan 2018" sheetId="7" r:id="rId5"/>
    <sheet name="Inventaire pour bilan 2020" sheetId="9" r:id="rId6"/>
    <sheet name="Inventaire pour bilan 2021" sheetId="10" r:id="rId7"/>
    <sheet name="Inventaire pour bilan 2022" sheetId="12" r:id="rId8"/>
    <sheet name="Inventaire pour bilan 2023" sheetId="11" r:id="rId9"/>
    <sheet name="Inventaire pour bilan 2024" sheetId="13" r:id="rId10"/>
    <sheet name="Inventaire pour bilan 2025" sheetId="14" r:id="rId11"/>
  </sheets>
  <calcPr calcId="181029"/>
</workbook>
</file>

<file path=xl/calcChain.xml><?xml version="1.0" encoding="utf-8"?>
<calcChain xmlns="http://schemas.openxmlformats.org/spreadsheetml/2006/main">
  <c r="E214" i="14" l="1"/>
  <c r="E215" i="14"/>
  <c r="E248" i="14"/>
  <c r="E247" i="14"/>
  <c r="E246" i="14"/>
  <c r="E245" i="14"/>
  <c r="E244" i="14"/>
  <c r="E243" i="14"/>
  <c r="E242" i="14"/>
  <c r="E241" i="14"/>
  <c r="E240" i="14"/>
  <c r="E239" i="14"/>
  <c r="E238" i="14"/>
  <c r="E237" i="14"/>
  <c r="E236" i="14"/>
  <c r="E235" i="14"/>
  <c r="E234" i="14"/>
  <c r="E233" i="14"/>
  <c r="E232" i="14"/>
  <c r="E231" i="14"/>
  <c r="E230" i="14"/>
  <c r="E229" i="14"/>
  <c r="E228" i="14"/>
  <c r="E227" i="14"/>
  <c r="E226" i="14"/>
  <c r="E225" i="14"/>
  <c r="E224" i="14"/>
  <c r="E223" i="14"/>
  <c r="E222" i="14"/>
  <c r="E221" i="14"/>
  <c r="E220" i="14"/>
  <c r="E219" i="14"/>
  <c r="E218" i="14"/>
  <c r="E217" i="14"/>
  <c r="E216" i="14"/>
  <c r="E213" i="14"/>
  <c r="E212" i="14"/>
  <c r="E211" i="14"/>
  <c r="E210" i="14"/>
  <c r="E209" i="14"/>
  <c r="E208" i="14"/>
  <c r="E207" i="14"/>
  <c r="E206" i="14"/>
  <c r="E205" i="14"/>
  <c r="E204" i="14"/>
  <c r="E203" i="14"/>
  <c r="E202" i="14"/>
  <c r="E201" i="14"/>
  <c r="E200" i="14"/>
  <c r="E199" i="14"/>
  <c r="E198" i="14"/>
  <c r="E197" i="14"/>
  <c r="E196" i="14"/>
  <c r="E195" i="14"/>
  <c r="E194" i="14"/>
  <c r="E193" i="14"/>
  <c r="E192" i="14"/>
  <c r="E191" i="14"/>
  <c r="E190" i="14"/>
  <c r="E189" i="14"/>
  <c r="E188" i="14"/>
  <c r="E187" i="14"/>
  <c r="E186" i="14"/>
  <c r="E185" i="14"/>
  <c r="E184" i="14"/>
  <c r="E183" i="14"/>
  <c r="E182" i="14"/>
  <c r="E181" i="14"/>
  <c r="E180" i="14"/>
  <c r="E179" i="14"/>
  <c r="E178" i="14"/>
  <c r="E177" i="14"/>
  <c r="E176" i="14"/>
  <c r="E175" i="14"/>
  <c r="E174" i="14"/>
  <c r="E173" i="14"/>
  <c r="E172" i="14"/>
  <c r="E171" i="14"/>
  <c r="E158" i="14"/>
  <c r="E157" i="14"/>
  <c r="E156" i="14"/>
  <c r="E155" i="14"/>
  <c r="E154" i="14"/>
  <c r="E153" i="14"/>
  <c r="E151" i="14"/>
  <c r="E145" i="14"/>
  <c r="E144" i="14"/>
  <c r="E143" i="14"/>
  <c r="E142" i="14"/>
  <c r="E141" i="14"/>
  <c r="E140" i="14"/>
  <c r="E139" i="14"/>
  <c r="E138" i="14"/>
  <c r="E137" i="14"/>
  <c r="E136" i="14"/>
  <c r="E135" i="14"/>
  <c r="E134" i="14"/>
  <c r="E133" i="14"/>
  <c r="E132" i="14"/>
  <c r="E131" i="14"/>
  <c r="E130" i="14"/>
  <c r="E129" i="14"/>
  <c r="E128" i="14"/>
  <c r="E121" i="14"/>
  <c r="E120" i="14"/>
  <c r="E119" i="14"/>
  <c r="E118" i="14"/>
  <c r="E117" i="14"/>
  <c r="E116" i="14"/>
  <c r="E110" i="14"/>
  <c r="E109" i="14"/>
  <c r="E108" i="14"/>
  <c r="E107" i="14"/>
  <c r="E106" i="14"/>
  <c r="E105" i="14"/>
  <c r="E104" i="14"/>
  <c r="E103" i="14"/>
  <c r="E102" i="14"/>
  <c r="E96" i="14"/>
  <c r="E95" i="14"/>
  <c r="E94" i="14"/>
  <c r="E93" i="14"/>
  <c r="E92" i="14"/>
  <c r="E91" i="14"/>
  <c r="E90" i="14"/>
  <c r="E89" i="14"/>
  <c r="E88" i="14"/>
  <c r="E87" i="14"/>
  <c r="E86" i="14"/>
  <c r="E85" i="14"/>
  <c r="E84" i="14"/>
  <c r="E83" i="14"/>
  <c r="E82" i="14"/>
  <c r="E81" i="14"/>
  <c r="E80" i="14"/>
  <c r="E79" i="14"/>
  <c r="E78" i="14"/>
  <c r="E77" i="14"/>
  <c r="E76" i="14"/>
  <c r="E75" i="14"/>
  <c r="E74" i="14"/>
  <c r="E73" i="14"/>
  <c r="E72" i="14"/>
  <c r="E71" i="14"/>
  <c r="E70" i="14"/>
  <c r="E69" i="14"/>
  <c r="E60" i="14"/>
  <c r="E59" i="14"/>
  <c r="E58" i="14"/>
  <c r="E57" i="14"/>
  <c r="E56" i="14"/>
  <c r="E55" i="14"/>
  <c r="E54" i="14"/>
  <c r="E53" i="14"/>
  <c r="E50" i="14"/>
  <c r="E49" i="14"/>
  <c r="E48" i="14"/>
  <c r="E47" i="14"/>
  <c r="E46" i="14"/>
  <c r="E45" i="14"/>
  <c r="E44" i="14"/>
  <c r="E43" i="14"/>
  <c r="E42" i="14"/>
  <c r="E41" i="14"/>
  <c r="E40" i="14"/>
  <c r="E39" i="14"/>
  <c r="E38" i="14"/>
  <c r="E37" i="14"/>
  <c r="E36" i="14"/>
  <c r="E35" i="14"/>
  <c r="E34" i="14"/>
  <c r="E33" i="14"/>
  <c r="E32" i="14"/>
  <c r="E31" i="14"/>
  <c r="E30" i="14"/>
  <c r="E29" i="14"/>
  <c r="E28" i="14"/>
  <c r="E27" i="14"/>
  <c r="E26" i="14"/>
  <c r="E25" i="14"/>
  <c r="E24" i="14"/>
  <c r="E23" i="14"/>
  <c r="E22" i="14"/>
  <c r="E21" i="14"/>
  <c r="E20" i="14"/>
  <c r="E19" i="14"/>
  <c r="E18" i="14"/>
  <c r="E17" i="14"/>
  <c r="E16" i="14"/>
  <c r="E15" i="14"/>
  <c r="E14" i="14"/>
  <c r="E13" i="14"/>
  <c r="E12" i="14"/>
  <c r="E11" i="14"/>
  <c r="E10" i="14"/>
  <c r="E9" i="14"/>
  <c r="E8" i="14"/>
  <c r="E7" i="14"/>
  <c r="E6" i="14"/>
  <c r="E5" i="14"/>
  <c r="E4" i="14"/>
  <c r="E3" i="14"/>
  <c r="E247" i="13"/>
  <c r="E246" i="13"/>
  <c r="E245" i="13"/>
  <c r="E244" i="13"/>
  <c r="E243" i="13"/>
  <c r="E242" i="13"/>
  <c r="E241" i="13"/>
  <c r="E240" i="13"/>
  <c r="E239" i="13"/>
  <c r="E238" i="13"/>
  <c r="E236" i="13"/>
  <c r="E237" i="13"/>
  <c r="E121" i="13"/>
  <c r="E159" i="13"/>
  <c r="E75" i="13"/>
  <c r="E76" i="13"/>
  <c r="E74" i="13"/>
  <c r="E84" i="13"/>
  <c r="E83" i="13"/>
  <c r="E82" i="13"/>
  <c r="E77" i="13"/>
  <c r="E79" i="13"/>
  <c r="E80" i="13"/>
  <c r="E81" i="13"/>
  <c r="E78" i="13"/>
  <c r="E95" i="13"/>
  <c r="E220" i="13"/>
  <c r="E234" i="13"/>
  <c r="E233" i="13"/>
  <c r="E232" i="13"/>
  <c r="E235" i="13"/>
  <c r="E231" i="13"/>
  <c r="E216" i="13"/>
  <c r="E217" i="13"/>
  <c r="E218" i="13"/>
  <c r="E219" i="13"/>
  <c r="E215" i="13"/>
  <c r="E214" i="13"/>
  <c r="E213" i="13"/>
  <c r="E206" i="13"/>
  <c r="E200" i="13"/>
  <c r="E201" i="13"/>
  <c r="E202" i="13"/>
  <c r="E203" i="13"/>
  <c r="E204" i="13"/>
  <c r="E205" i="13"/>
  <c r="E193" i="13"/>
  <c r="E194" i="13"/>
  <c r="E195" i="13"/>
  <c r="E196" i="13"/>
  <c r="E175" i="13"/>
  <c r="E176" i="13"/>
  <c r="E178" i="13"/>
  <c r="E181" i="13"/>
  <c r="E145" i="13"/>
  <c r="E144" i="13"/>
  <c r="E143" i="13"/>
  <c r="E142" i="13"/>
  <c r="E141" i="13"/>
  <c r="E140" i="13"/>
  <c r="E139" i="13"/>
  <c r="E138" i="13"/>
  <c r="E137" i="13"/>
  <c r="E136" i="13"/>
  <c r="E135" i="13"/>
  <c r="E134" i="13"/>
  <c r="E133" i="13"/>
  <c r="E132" i="13"/>
  <c r="E131" i="13"/>
  <c r="E130" i="13"/>
  <c r="E129" i="13"/>
  <c r="E128" i="13"/>
  <c r="E187" i="13"/>
  <c r="E188" i="13"/>
  <c r="E191" i="13"/>
  <c r="E192" i="13"/>
  <c r="E190" i="13"/>
  <c r="E189" i="13"/>
  <c r="E186" i="13"/>
  <c r="E185" i="13"/>
  <c r="E184" i="13"/>
  <c r="E183" i="13"/>
  <c r="E180" i="13"/>
  <c r="E182" i="13"/>
  <c r="E179" i="13"/>
  <c r="E173" i="13"/>
  <c r="E174" i="13"/>
  <c r="E177" i="13"/>
  <c r="E227" i="13"/>
  <c r="E226" i="13"/>
  <c r="E172" i="13"/>
  <c r="E38" i="13"/>
  <c r="E222" i="13"/>
  <c r="E221" i="13"/>
  <c r="E158" i="13"/>
  <c r="E157" i="13"/>
  <c r="E156" i="13"/>
  <c r="E155" i="13"/>
  <c r="E154" i="13"/>
  <c r="E153" i="13"/>
  <c r="E151" i="13"/>
  <c r="E105" i="13"/>
  <c r="E119" i="13"/>
  <c r="E118" i="13"/>
  <c r="E230" i="13"/>
  <c r="E229" i="13"/>
  <c r="E228" i="13"/>
  <c r="E225" i="13"/>
  <c r="E224" i="13"/>
  <c r="E223" i="13"/>
  <c r="E212" i="13"/>
  <c r="E211" i="13"/>
  <c r="E210" i="13"/>
  <c r="E209" i="13"/>
  <c r="E208" i="13"/>
  <c r="E207" i="13"/>
  <c r="E199" i="13"/>
  <c r="E198" i="13"/>
  <c r="E197" i="13"/>
  <c r="E120" i="13"/>
  <c r="E117" i="13"/>
  <c r="E116" i="13"/>
  <c r="E110" i="13"/>
  <c r="E109" i="13"/>
  <c r="E108" i="13"/>
  <c r="E107" i="13"/>
  <c r="E106" i="13"/>
  <c r="E104" i="13"/>
  <c r="E103" i="13"/>
  <c r="E102" i="13"/>
  <c r="E96" i="13"/>
  <c r="E94" i="13"/>
  <c r="E93" i="13"/>
  <c r="E92" i="13"/>
  <c r="E91" i="13"/>
  <c r="E90" i="13"/>
  <c r="E89" i="13"/>
  <c r="E88" i="13"/>
  <c r="E87" i="13"/>
  <c r="E86" i="13"/>
  <c r="E85" i="13"/>
  <c r="E73" i="13"/>
  <c r="E72" i="13"/>
  <c r="E71" i="13"/>
  <c r="E70" i="13"/>
  <c r="E69" i="13"/>
  <c r="E60" i="13"/>
  <c r="E59" i="13"/>
  <c r="E58" i="13"/>
  <c r="E57" i="13"/>
  <c r="E56" i="13"/>
  <c r="E55" i="13"/>
  <c r="E54" i="13"/>
  <c r="E53" i="13"/>
  <c r="E50" i="13"/>
  <c r="E49" i="13"/>
  <c r="E48" i="13"/>
  <c r="E47" i="13"/>
  <c r="E46" i="13"/>
  <c r="E45" i="13"/>
  <c r="E44" i="13"/>
  <c r="E43" i="13"/>
  <c r="E42" i="13"/>
  <c r="E41" i="13"/>
  <c r="E40" i="13"/>
  <c r="E39" i="13"/>
  <c r="E37" i="13"/>
  <c r="E36" i="13"/>
  <c r="E35" i="13"/>
  <c r="E34" i="13"/>
  <c r="E33" i="13"/>
  <c r="E32" i="13"/>
  <c r="E31" i="13"/>
  <c r="E30" i="13"/>
  <c r="E29" i="13"/>
  <c r="E28" i="13"/>
  <c r="E27" i="13"/>
  <c r="E26" i="13"/>
  <c r="E25" i="13"/>
  <c r="E24" i="13"/>
  <c r="E23" i="13"/>
  <c r="E22" i="13"/>
  <c r="E21" i="13"/>
  <c r="E20" i="13"/>
  <c r="E19" i="13"/>
  <c r="E18" i="13"/>
  <c r="E17" i="13"/>
  <c r="E16" i="13"/>
  <c r="E15" i="13"/>
  <c r="E14" i="13"/>
  <c r="E13" i="13"/>
  <c r="E12" i="13"/>
  <c r="E11" i="13"/>
  <c r="E10" i="13"/>
  <c r="E9" i="13"/>
  <c r="E8" i="13"/>
  <c r="E7" i="13"/>
  <c r="E6" i="13"/>
  <c r="E5" i="13"/>
  <c r="E4" i="13"/>
  <c r="E3" i="13"/>
  <c r="E140" i="12"/>
  <c r="E139" i="12"/>
  <c r="E138" i="12"/>
  <c r="E137" i="12"/>
  <c r="E136" i="12"/>
  <c r="E135" i="12"/>
  <c r="E134" i="12"/>
  <c r="E133" i="12"/>
  <c r="E132" i="12"/>
  <c r="E131" i="12"/>
  <c r="E130" i="12"/>
  <c r="E129" i="12"/>
  <c r="E128" i="12"/>
  <c r="E127" i="12"/>
  <c r="E126" i="12"/>
  <c r="E125" i="12"/>
  <c r="E124" i="12"/>
  <c r="E123" i="12"/>
  <c r="E122" i="12"/>
  <c r="E108" i="12"/>
  <c r="E109" i="12" s="1"/>
  <c r="E107" i="12"/>
  <c r="E106" i="12"/>
  <c r="E101" i="12"/>
  <c r="E100" i="12"/>
  <c r="E99" i="12"/>
  <c r="E98" i="12"/>
  <c r="E97" i="12"/>
  <c r="E96" i="12"/>
  <c r="E95" i="12"/>
  <c r="E94" i="12"/>
  <c r="E93" i="12"/>
  <c r="E88" i="12"/>
  <c r="E87" i="12"/>
  <c r="E86" i="12"/>
  <c r="E85" i="12"/>
  <c r="E84" i="12"/>
  <c r="E83" i="12"/>
  <c r="E82" i="12"/>
  <c r="E81" i="12"/>
  <c r="E80" i="12"/>
  <c r="E79" i="12"/>
  <c r="E78" i="12"/>
  <c r="E77" i="12"/>
  <c r="E76" i="12"/>
  <c r="E75" i="12"/>
  <c r="E74" i="12"/>
  <c r="E73" i="12"/>
  <c r="E72" i="12"/>
  <c r="E71" i="12"/>
  <c r="E70" i="12"/>
  <c r="E69" i="12"/>
  <c r="E68" i="12"/>
  <c r="E59" i="12"/>
  <c r="E58" i="12"/>
  <c r="E57" i="12"/>
  <c r="E56" i="12"/>
  <c r="E55" i="12"/>
  <c r="E54" i="12"/>
  <c r="E53" i="12"/>
  <c r="E52" i="12"/>
  <c r="E49" i="12"/>
  <c r="E48" i="12"/>
  <c r="E47" i="12"/>
  <c r="E46" i="12"/>
  <c r="E45" i="12"/>
  <c r="E44" i="12"/>
  <c r="E43" i="12"/>
  <c r="E42" i="12"/>
  <c r="E41" i="12"/>
  <c r="E40" i="12"/>
  <c r="E39" i="12"/>
  <c r="E38" i="12"/>
  <c r="E37" i="12"/>
  <c r="E36" i="12"/>
  <c r="E35" i="12"/>
  <c r="E34" i="12"/>
  <c r="E33" i="12"/>
  <c r="E32" i="12"/>
  <c r="E31" i="12"/>
  <c r="E30" i="12"/>
  <c r="E29" i="12"/>
  <c r="E28" i="12"/>
  <c r="E27" i="12"/>
  <c r="E26" i="12"/>
  <c r="E25" i="12"/>
  <c r="E24" i="12"/>
  <c r="E23" i="12"/>
  <c r="E22" i="12"/>
  <c r="E21" i="12"/>
  <c r="E20" i="12"/>
  <c r="E19" i="12"/>
  <c r="E18" i="12"/>
  <c r="E17" i="12"/>
  <c r="E16" i="12"/>
  <c r="E15" i="12"/>
  <c r="E14" i="12"/>
  <c r="E13" i="12"/>
  <c r="E12" i="12"/>
  <c r="E11" i="12"/>
  <c r="E10" i="12"/>
  <c r="E9" i="12"/>
  <c r="E8" i="12"/>
  <c r="E7" i="12"/>
  <c r="E6" i="12"/>
  <c r="E60" i="12" s="1"/>
  <c r="E5" i="12"/>
  <c r="E4" i="12"/>
  <c r="E3" i="12"/>
  <c r="E139" i="11"/>
  <c r="E138" i="11"/>
  <c r="E137" i="11"/>
  <c r="E136" i="11"/>
  <c r="E135" i="11"/>
  <c r="E134" i="11"/>
  <c r="E133" i="11"/>
  <c r="E132" i="11"/>
  <c r="E131" i="11"/>
  <c r="E130" i="11"/>
  <c r="E129" i="11"/>
  <c r="E128" i="11"/>
  <c r="E127" i="11"/>
  <c r="E126" i="11"/>
  <c r="E125" i="11"/>
  <c r="E124" i="11"/>
  <c r="E123" i="11"/>
  <c r="E122" i="11"/>
  <c r="E108" i="11"/>
  <c r="E107" i="11"/>
  <c r="E106" i="11"/>
  <c r="E100" i="11"/>
  <c r="E99" i="11"/>
  <c r="E98" i="11"/>
  <c r="E97" i="11"/>
  <c r="E96" i="11"/>
  <c r="E95" i="11"/>
  <c r="E94" i="11"/>
  <c r="E93" i="11"/>
  <c r="E87" i="11"/>
  <c r="E86" i="11"/>
  <c r="E85" i="11"/>
  <c r="E84" i="11"/>
  <c r="E83" i="11"/>
  <c r="E82" i="11"/>
  <c r="E81" i="11"/>
  <c r="E80" i="11"/>
  <c r="E79" i="11"/>
  <c r="E78" i="11"/>
  <c r="E77" i="11"/>
  <c r="E76" i="11"/>
  <c r="E75" i="11"/>
  <c r="E74" i="11"/>
  <c r="E73" i="11"/>
  <c r="E72" i="11"/>
  <c r="E71" i="11"/>
  <c r="E70" i="11"/>
  <c r="E69" i="11"/>
  <c r="E68" i="11"/>
  <c r="E59" i="11"/>
  <c r="E58" i="11"/>
  <c r="E57" i="11"/>
  <c r="E56" i="11"/>
  <c r="E55" i="11"/>
  <c r="E54" i="11"/>
  <c r="E53" i="11"/>
  <c r="E52" i="11"/>
  <c r="E49" i="11"/>
  <c r="E48" i="11"/>
  <c r="E47" i="11"/>
  <c r="E46" i="11"/>
  <c r="E45" i="11"/>
  <c r="E44" i="11"/>
  <c r="E43" i="11"/>
  <c r="E42" i="11"/>
  <c r="E41" i="11"/>
  <c r="E40" i="11"/>
  <c r="E39" i="11"/>
  <c r="E38" i="11"/>
  <c r="E37" i="11"/>
  <c r="E36" i="11"/>
  <c r="E35" i="11"/>
  <c r="E34" i="11"/>
  <c r="E33" i="11"/>
  <c r="E32" i="11"/>
  <c r="E31" i="11"/>
  <c r="E30" i="11"/>
  <c r="E29" i="11"/>
  <c r="E28" i="11"/>
  <c r="E27" i="11"/>
  <c r="E26" i="11"/>
  <c r="E25" i="11"/>
  <c r="E24" i="11"/>
  <c r="E23" i="11"/>
  <c r="E22" i="11"/>
  <c r="E21" i="11"/>
  <c r="E20" i="11"/>
  <c r="E19" i="11"/>
  <c r="E18" i="11"/>
  <c r="E17" i="11"/>
  <c r="E16" i="11"/>
  <c r="E15" i="11"/>
  <c r="E14" i="11"/>
  <c r="E13" i="11"/>
  <c r="E12" i="11"/>
  <c r="E11" i="11"/>
  <c r="E10" i="11"/>
  <c r="E9" i="11"/>
  <c r="E8" i="11"/>
  <c r="E7" i="11"/>
  <c r="E6" i="11"/>
  <c r="E5" i="11"/>
  <c r="E4" i="11"/>
  <c r="E3" i="11"/>
  <c r="E72" i="10"/>
  <c r="E145" i="10"/>
  <c r="E144" i="10"/>
  <c r="E143" i="10"/>
  <c r="E142" i="10"/>
  <c r="E141" i="10"/>
  <c r="E140" i="10"/>
  <c r="E139" i="10"/>
  <c r="E138" i="10"/>
  <c r="E137" i="10"/>
  <c r="E136" i="10"/>
  <c r="E135" i="10"/>
  <c r="E134" i="10"/>
  <c r="E133" i="10"/>
  <c r="E132" i="10"/>
  <c r="E131" i="10"/>
  <c r="E130" i="10"/>
  <c r="E129" i="10"/>
  <c r="E128" i="10"/>
  <c r="E114" i="10"/>
  <c r="E113" i="10"/>
  <c r="E112" i="10"/>
  <c r="E106" i="10"/>
  <c r="E105" i="10"/>
  <c r="E104" i="10"/>
  <c r="E103" i="10"/>
  <c r="E102" i="10"/>
  <c r="E101" i="10"/>
  <c r="E100" i="10"/>
  <c r="E99" i="10"/>
  <c r="E93" i="10"/>
  <c r="E92" i="10"/>
  <c r="E91" i="10"/>
  <c r="E90" i="10"/>
  <c r="E89" i="10"/>
  <c r="E88" i="10"/>
  <c r="E87" i="10"/>
  <c r="E86" i="10"/>
  <c r="E85" i="10"/>
  <c r="E84" i="10"/>
  <c r="E83" i="10"/>
  <c r="E82" i="10"/>
  <c r="E81" i="10"/>
  <c r="E80" i="10"/>
  <c r="E79" i="10"/>
  <c r="E78" i="10"/>
  <c r="E77" i="10"/>
  <c r="E76" i="10"/>
  <c r="E75" i="10"/>
  <c r="E74" i="10"/>
  <c r="E73" i="10"/>
  <c r="E71" i="10"/>
  <c r="E62" i="10"/>
  <c r="E61" i="10"/>
  <c r="E60" i="10"/>
  <c r="E59" i="10"/>
  <c r="E58" i="10"/>
  <c r="E57" i="10"/>
  <c r="E56" i="10"/>
  <c r="E55" i="10"/>
  <c r="E54" i="10"/>
  <c r="E53" i="10"/>
  <c r="E52" i="10"/>
  <c r="E49" i="10"/>
  <c r="E48" i="10"/>
  <c r="E47" i="10"/>
  <c r="E46" i="10"/>
  <c r="E45" i="10"/>
  <c r="E44" i="10"/>
  <c r="E43" i="10"/>
  <c r="E42" i="10"/>
  <c r="E41" i="10"/>
  <c r="E40" i="10"/>
  <c r="E39" i="10"/>
  <c r="E38" i="10"/>
  <c r="E37" i="10"/>
  <c r="E36" i="10"/>
  <c r="E35" i="10"/>
  <c r="E34" i="10"/>
  <c r="E33" i="10"/>
  <c r="E32" i="10"/>
  <c r="E31" i="10"/>
  <c r="E30" i="10"/>
  <c r="E29" i="10"/>
  <c r="E28" i="10"/>
  <c r="E27" i="10"/>
  <c r="E26" i="10"/>
  <c r="E25" i="10"/>
  <c r="E24" i="10"/>
  <c r="E23" i="10"/>
  <c r="E22" i="10"/>
  <c r="E21" i="10"/>
  <c r="E20" i="10"/>
  <c r="E19" i="10"/>
  <c r="E18" i="10"/>
  <c r="E17" i="10"/>
  <c r="E16" i="10"/>
  <c r="E15" i="10"/>
  <c r="E14" i="10"/>
  <c r="E13" i="10"/>
  <c r="E12" i="10"/>
  <c r="E11" i="10"/>
  <c r="E10" i="10"/>
  <c r="E9" i="10"/>
  <c r="E8" i="10"/>
  <c r="E7" i="10"/>
  <c r="E6" i="10"/>
  <c r="E5" i="10"/>
  <c r="E4" i="10"/>
  <c r="E3" i="10"/>
  <c r="E144" i="9"/>
  <c r="E143" i="9"/>
  <c r="E142" i="9"/>
  <c r="E141" i="9"/>
  <c r="E140" i="9"/>
  <c r="E139" i="9"/>
  <c r="E138" i="9"/>
  <c r="E137" i="9"/>
  <c r="E136" i="9"/>
  <c r="E135" i="9"/>
  <c r="E134" i="9"/>
  <c r="E133" i="9"/>
  <c r="E132" i="9"/>
  <c r="E131" i="9"/>
  <c r="E130" i="9"/>
  <c r="E129" i="9"/>
  <c r="E128" i="9"/>
  <c r="E127" i="9"/>
  <c r="E113" i="9"/>
  <c r="E112" i="9"/>
  <c r="E111" i="9"/>
  <c r="E105" i="9"/>
  <c r="E104" i="9"/>
  <c r="E103" i="9"/>
  <c r="E102" i="9"/>
  <c r="E101" i="9"/>
  <c r="E100" i="9"/>
  <c r="E99" i="9"/>
  <c r="E98" i="9"/>
  <c r="E92" i="9"/>
  <c r="E91" i="9"/>
  <c r="E90" i="9"/>
  <c r="E89" i="9"/>
  <c r="E88" i="9"/>
  <c r="E87" i="9"/>
  <c r="E86" i="9"/>
  <c r="E85" i="9"/>
  <c r="E84" i="9"/>
  <c r="E83" i="9"/>
  <c r="E82" i="9"/>
  <c r="E81" i="9"/>
  <c r="E80" i="9"/>
  <c r="E79" i="9"/>
  <c r="E78" i="9"/>
  <c r="E77" i="9"/>
  <c r="E76" i="9"/>
  <c r="E75" i="9"/>
  <c r="E74" i="9"/>
  <c r="E73" i="9"/>
  <c r="E72" i="9"/>
  <c r="E71" i="9"/>
  <c r="E62" i="9"/>
  <c r="E61" i="9"/>
  <c r="E60" i="9"/>
  <c r="E59" i="9"/>
  <c r="E58" i="9"/>
  <c r="E57" i="9"/>
  <c r="E56" i="9"/>
  <c r="E55" i="9"/>
  <c r="E54" i="9"/>
  <c r="E53" i="9"/>
  <c r="E52" i="9"/>
  <c r="E49" i="9"/>
  <c r="E48" i="9"/>
  <c r="E47" i="9"/>
  <c r="E46" i="9"/>
  <c r="E45" i="9"/>
  <c r="E44" i="9"/>
  <c r="E43" i="9"/>
  <c r="E42" i="9"/>
  <c r="E41" i="9"/>
  <c r="E40" i="9"/>
  <c r="E39" i="9"/>
  <c r="E38" i="9"/>
  <c r="E37" i="9"/>
  <c r="E36" i="9"/>
  <c r="E35" i="9"/>
  <c r="E34" i="9"/>
  <c r="E33" i="9"/>
  <c r="E32" i="9"/>
  <c r="E31" i="9"/>
  <c r="E30" i="9"/>
  <c r="E29" i="9"/>
  <c r="E28" i="9"/>
  <c r="E27" i="9"/>
  <c r="E26" i="9"/>
  <c r="E25" i="9"/>
  <c r="E24" i="9"/>
  <c r="E23" i="9"/>
  <c r="E22" i="9"/>
  <c r="E21" i="9"/>
  <c r="E20" i="9"/>
  <c r="E19" i="9"/>
  <c r="E18" i="9"/>
  <c r="E17" i="9"/>
  <c r="E16" i="9"/>
  <c r="E15" i="9"/>
  <c r="E14" i="9"/>
  <c r="E13" i="9"/>
  <c r="E12" i="9"/>
  <c r="E11" i="9"/>
  <c r="E10" i="9"/>
  <c r="E9" i="9"/>
  <c r="E8" i="9"/>
  <c r="E7" i="9"/>
  <c r="E6" i="9"/>
  <c r="E5" i="9"/>
  <c r="E4" i="9"/>
  <c r="E3" i="9"/>
  <c r="E146" i="14" l="1"/>
  <c r="E159" i="14"/>
  <c r="E61" i="14"/>
  <c r="E97" i="14"/>
  <c r="E255" i="14" s="1"/>
  <c r="E123" i="14"/>
  <c r="E111" i="14"/>
  <c r="E252" i="14"/>
  <c r="E251" i="13"/>
  <c r="E123" i="13"/>
  <c r="E146" i="13"/>
  <c r="E160" i="13"/>
  <c r="E111" i="13"/>
  <c r="E61" i="13"/>
  <c r="E97" i="13"/>
  <c r="E143" i="12"/>
  <c r="E101" i="11"/>
  <c r="E140" i="11"/>
  <c r="E88" i="11"/>
  <c r="E109" i="11"/>
  <c r="E60" i="11"/>
  <c r="E115" i="10"/>
  <c r="E94" i="10"/>
  <c r="E107" i="10"/>
  <c r="E146" i="10"/>
  <c r="E63" i="10"/>
  <c r="E145" i="9"/>
  <c r="E106" i="9"/>
  <c r="E114" i="9"/>
  <c r="E93" i="9"/>
  <c r="E63" i="9"/>
  <c r="E150" i="8"/>
  <c r="E149" i="8"/>
  <c r="E148" i="8"/>
  <c r="E147" i="8"/>
  <c r="E146" i="8"/>
  <c r="E145" i="8"/>
  <c r="E144" i="8"/>
  <c r="E143" i="8"/>
  <c r="E142" i="8"/>
  <c r="E141" i="8"/>
  <c r="E140" i="8"/>
  <c r="E139" i="8"/>
  <c r="E138" i="8"/>
  <c r="E137" i="8"/>
  <c r="E136" i="8"/>
  <c r="E135" i="8"/>
  <c r="E134" i="8"/>
  <c r="E133" i="8"/>
  <c r="E132" i="8"/>
  <c r="E131" i="8"/>
  <c r="E117" i="8"/>
  <c r="E116" i="8"/>
  <c r="E115" i="8"/>
  <c r="E114" i="8"/>
  <c r="E113" i="8"/>
  <c r="E107" i="8"/>
  <c r="E106" i="8"/>
  <c r="E105" i="8"/>
  <c r="E104" i="8"/>
  <c r="E103" i="8"/>
  <c r="E102" i="8"/>
  <c r="E101" i="8"/>
  <c r="E100" i="8"/>
  <c r="E108" i="8" s="1"/>
  <c r="E94" i="8"/>
  <c r="E93" i="8"/>
  <c r="E92" i="8"/>
  <c r="E91" i="8"/>
  <c r="E90" i="8"/>
  <c r="E89" i="8"/>
  <c r="E88" i="8"/>
  <c r="E87" i="8"/>
  <c r="E86" i="8"/>
  <c r="E85" i="8"/>
  <c r="E84" i="8"/>
  <c r="E83" i="8"/>
  <c r="E82" i="8"/>
  <c r="E81" i="8"/>
  <c r="E80" i="8"/>
  <c r="E79" i="8"/>
  <c r="E78" i="8"/>
  <c r="E77" i="8"/>
  <c r="E76" i="8"/>
  <c r="E75" i="8"/>
  <c r="E74" i="8"/>
  <c r="E73" i="8"/>
  <c r="E72" i="8"/>
  <c r="E71" i="8"/>
  <c r="E62" i="8"/>
  <c r="E61" i="8"/>
  <c r="E60" i="8"/>
  <c r="E59" i="8"/>
  <c r="E58" i="8"/>
  <c r="E57" i="8"/>
  <c r="E56" i="8"/>
  <c r="E55" i="8"/>
  <c r="E54" i="8"/>
  <c r="E53" i="8"/>
  <c r="E52" i="8"/>
  <c r="E49" i="8"/>
  <c r="E48" i="8"/>
  <c r="E47" i="8"/>
  <c r="E46" i="8"/>
  <c r="E45" i="8"/>
  <c r="E44" i="8"/>
  <c r="E43" i="8"/>
  <c r="E42" i="8"/>
  <c r="E41" i="8"/>
  <c r="E40" i="8"/>
  <c r="E39" i="8"/>
  <c r="E38" i="8"/>
  <c r="E37" i="8"/>
  <c r="E36" i="8"/>
  <c r="E35" i="8"/>
  <c r="E34" i="8"/>
  <c r="E33" i="8"/>
  <c r="E32" i="8"/>
  <c r="E31" i="8"/>
  <c r="E30" i="8"/>
  <c r="E29" i="8"/>
  <c r="E28" i="8"/>
  <c r="E27" i="8"/>
  <c r="E26" i="8"/>
  <c r="E25" i="8"/>
  <c r="E24" i="8"/>
  <c r="E23" i="8"/>
  <c r="E22" i="8"/>
  <c r="E21" i="8"/>
  <c r="E20" i="8"/>
  <c r="E19" i="8"/>
  <c r="E18" i="8"/>
  <c r="E17" i="8"/>
  <c r="E16" i="8"/>
  <c r="E15" i="8"/>
  <c r="E14" i="8"/>
  <c r="E13" i="8"/>
  <c r="E12" i="8"/>
  <c r="E11" i="8"/>
  <c r="E10" i="8"/>
  <c r="E9" i="8"/>
  <c r="E8" i="8"/>
  <c r="E7" i="8"/>
  <c r="E6" i="8"/>
  <c r="E5" i="8"/>
  <c r="E4" i="8"/>
  <c r="E3" i="8"/>
  <c r="E254" i="13" l="1"/>
  <c r="E143" i="11"/>
  <c r="E95" i="8"/>
  <c r="E149" i="10"/>
  <c r="E151" i="8"/>
  <c r="E117" i="9"/>
  <c r="E148" i="9"/>
  <c r="E63" i="8"/>
  <c r="E154" i="8" s="1"/>
  <c r="E118" i="8"/>
  <c r="E150" i="7"/>
  <c r="E149" i="7"/>
  <c r="E148" i="7"/>
  <c r="E147" i="7"/>
  <c r="E146" i="7"/>
  <c r="E145" i="7"/>
  <c r="E144" i="7"/>
  <c r="E143" i="7"/>
  <c r="E142" i="7"/>
  <c r="E141" i="7"/>
  <c r="E140" i="7"/>
  <c r="E139" i="7"/>
  <c r="E138" i="7"/>
  <c r="E137" i="7"/>
  <c r="E136" i="7"/>
  <c r="E135" i="7"/>
  <c r="E134" i="7"/>
  <c r="E133" i="7"/>
  <c r="E132" i="7"/>
  <c r="E131" i="7"/>
  <c r="E117" i="7"/>
  <c r="E116" i="7"/>
  <c r="E115" i="7"/>
  <c r="E114" i="7"/>
  <c r="E113" i="7"/>
  <c r="E107" i="7"/>
  <c r="E106" i="7"/>
  <c r="E105" i="7"/>
  <c r="E104" i="7"/>
  <c r="E103" i="7"/>
  <c r="E102" i="7"/>
  <c r="E101" i="7"/>
  <c r="E100" i="7"/>
  <c r="E94" i="7"/>
  <c r="E93" i="7"/>
  <c r="E92" i="7"/>
  <c r="E91" i="7"/>
  <c r="E90" i="7"/>
  <c r="E89" i="7"/>
  <c r="E88" i="7"/>
  <c r="E87" i="7"/>
  <c r="E86" i="7"/>
  <c r="E85" i="7"/>
  <c r="E84" i="7"/>
  <c r="E83" i="7"/>
  <c r="E82" i="7"/>
  <c r="E81" i="7"/>
  <c r="E80" i="7"/>
  <c r="E79" i="7"/>
  <c r="E78" i="7"/>
  <c r="E77" i="7"/>
  <c r="E76" i="7"/>
  <c r="E75" i="7"/>
  <c r="E74" i="7"/>
  <c r="E73" i="7"/>
  <c r="E72" i="7"/>
  <c r="E71" i="7"/>
  <c r="E62" i="7"/>
  <c r="E61" i="7"/>
  <c r="E60" i="7"/>
  <c r="E59" i="7"/>
  <c r="E58" i="7"/>
  <c r="E57" i="7"/>
  <c r="E56" i="7"/>
  <c r="E55" i="7"/>
  <c r="E54" i="7"/>
  <c r="E53" i="7"/>
  <c r="E52" i="7"/>
  <c r="E49" i="7"/>
  <c r="E48" i="7"/>
  <c r="E47" i="7"/>
  <c r="E46" i="7"/>
  <c r="E45" i="7"/>
  <c r="E44" i="7"/>
  <c r="E43" i="7"/>
  <c r="E42" i="7"/>
  <c r="E41" i="7"/>
  <c r="E40" i="7"/>
  <c r="E39" i="7"/>
  <c r="E38" i="7"/>
  <c r="E37" i="7"/>
  <c r="E36" i="7"/>
  <c r="E35" i="7"/>
  <c r="E34" i="7"/>
  <c r="E33" i="7"/>
  <c r="E32" i="7"/>
  <c r="E31" i="7"/>
  <c r="E30" i="7"/>
  <c r="E29" i="7"/>
  <c r="E28" i="7"/>
  <c r="E27" i="7"/>
  <c r="E26" i="7"/>
  <c r="E25" i="7"/>
  <c r="E24" i="7"/>
  <c r="E23" i="7"/>
  <c r="E22" i="7"/>
  <c r="E21" i="7"/>
  <c r="E20" i="7"/>
  <c r="E19" i="7"/>
  <c r="E18" i="7"/>
  <c r="E17" i="7"/>
  <c r="E16" i="7"/>
  <c r="E15" i="7"/>
  <c r="E14" i="7"/>
  <c r="E13" i="7"/>
  <c r="E12" i="7"/>
  <c r="E11" i="7"/>
  <c r="E10" i="7"/>
  <c r="E9" i="7"/>
  <c r="E8" i="7"/>
  <c r="E7" i="7"/>
  <c r="E6" i="7"/>
  <c r="E5" i="7"/>
  <c r="E4" i="7"/>
  <c r="E3" i="7"/>
  <c r="E118" i="7" l="1"/>
  <c r="E151" i="7"/>
  <c r="E95" i="7"/>
  <c r="E108" i="7"/>
  <c r="E63" i="7"/>
  <c r="E58" i="6"/>
  <c r="E218" i="6"/>
  <c r="E244" i="6"/>
  <c r="E238" i="6"/>
  <c r="E239" i="6"/>
  <c r="E240" i="6"/>
  <c r="E241" i="6"/>
  <c r="E242" i="6"/>
  <c r="E237" i="6"/>
  <c r="E236" i="6"/>
  <c r="E235" i="6"/>
  <c r="E234" i="6"/>
  <c r="E233" i="6"/>
  <c r="E232" i="6"/>
  <c r="E243" i="6"/>
  <c r="E225" i="6"/>
  <c r="E226" i="6"/>
  <c r="E228" i="6"/>
  <c r="E227" i="6"/>
  <c r="E231" i="6"/>
  <c r="E213" i="6"/>
  <c r="E214" i="6"/>
  <c r="E215" i="6"/>
  <c r="E216" i="6"/>
  <c r="E217" i="6"/>
  <c r="E219" i="6"/>
  <c r="E220" i="6"/>
  <c r="E221" i="6"/>
  <c r="E222" i="6"/>
  <c r="E223" i="6"/>
  <c r="E212" i="6"/>
  <c r="E211" i="6"/>
  <c r="E210" i="6"/>
  <c r="E201" i="6"/>
  <c r="E202" i="6"/>
  <c r="E200" i="6"/>
  <c r="E199" i="6"/>
  <c r="E198" i="6"/>
  <c r="E180" i="6"/>
  <c r="E206" i="6"/>
  <c r="E77" i="6"/>
  <c r="E209" i="6"/>
  <c r="E208" i="6"/>
  <c r="E205" i="6"/>
  <c r="E179" i="6"/>
  <c r="E204" i="6"/>
  <c r="E203" i="6"/>
  <c r="E197" i="6"/>
  <c r="E196" i="6"/>
  <c r="E195" i="6"/>
  <c r="E194" i="6"/>
  <c r="E178" i="6"/>
  <c r="E177" i="6"/>
  <c r="E193" i="6"/>
  <c r="E192" i="6"/>
  <c r="E191" i="6"/>
  <c r="E190" i="6"/>
  <c r="E189" i="6"/>
  <c r="E188" i="6"/>
  <c r="E187" i="6"/>
  <c r="E186" i="6"/>
  <c r="E185" i="6"/>
  <c r="E184" i="6"/>
  <c r="E168" i="6"/>
  <c r="E169" i="6"/>
  <c r="E170" i="6"/>
  <c r="E171" i="6"/>
  <c r="E172" i="6"/>
  <c r="E173" i="6"/>
  <c r="E174" i="6"/>
  <c r="E175" i="6"/>
  <c r="E176" i="6"/>
  <c r="E181" i="6"/>
  <c r="E182" i="6"/>
  <c r="E183" i="6"/>
  <c r="E224" i="6"/>
  <c r="E229" i="6"/>
  <c r="E230" i="6"/>
  <c r="E154" i="7" l="1"/>
  <c r="E257" i="6"/>
  <c r="E258" i="6"/>
  <c r="E264" i="6"/>
  <c r="E265" i="6"/>
  <c r="E252" i="6"/>
  <c r="E253" i="6"/>
  <c r="E255" i="6"/>
  <c r="E260" i="6"/>
  <c r="E261" i="6"/>
  <c r="E262" i="6"/>
  <c r="E263" i="6"/>
  <c r="E259" i="6"/>
  <c r="E254" i="6"/>
  <c r="E256" i="6"/>
  <c r="E251" i="6"/>
  <c r="E266" i="6"/>
  <c r="E267" i="6"/>
  <c r="E250" i="6"/>
  <c r="E153" i="6"/>
  <c r="E154" i="6"/>
  <c r="E147" i="6"/>
  <c r="E148" i="6"/>
  <c r="E149" i="6"/>
  <c r="E151" i="6"/>
  <c r="E155" i="6"/>
  <c r="E156" i="6"/>
  <c r="E157" i="6"/>
  <c r="E158" i="6"/>
  <c r="E159" i="6"/>
  <c r="E268" i="6" l="1"/>
  <c r="E133" i="6"/>
  <c r="E134" i="6"/>
  <c r="E135" i="6"/>
  <c r="E136" i="6"/>
  <c r="E137" i="6"/>
  <c r="E138" i="6"/>
  <c r="E139" i="6"/>
  <c r="E140" i="6"/>
  <c r="E125" i="6"/>
  <c r="E126" i="6"/>
  <c r="E128" i="6"/>
  <c r="E115" i="6"/>
  <c r="E111" i="6"/>
  <c r="E112" i="6"/>
  <c r="E113" i="6"/>
  <c r="E114" i="6"/>
  <c r="E116" i="6"/>
  <c r="E110" i="6"/>
  <c r="E107" i="6"/>
  <c r="E108" i="6"/>
  <c r="E109" i="6"/>
  <c r="E106" i="6"/>
  <c r="E105" i="6"/>
  <c r="E91" i="6"/>
  <c r="E207" i="6"/>
  <c r="E74" i="6"/>
  <c r="E57" i="6"/>
  <c r="E59" i="6"/>
  <c r="E60" i="6"/>
  <c r="E61" i="6"/>
  <c r="E62" i="6"/>
  <c r="E64" i="6"/>
  <c r="E53" i="6"/>
  <c r="E54" i="6"/>
  <c r="E63" i="6"/>
  <c r="E70" i="6"/>
  <c r="E52" i="6"/>
  <c r="E56" i="6"/>
  <c r="E51" i="6"/>
  <c r="E49" i="6"/>
  <c r="E69" i="6"/>
  <c r="E40" i="6"/>
  <c r="E39" i="6"/>
  <c r="E48" i="6"/>
  <c r="E47" i="6"/>
  <c r="E46" i="6"/>
  <c r="E44" i="6"/>
  <c r="E45" i="6"/>
  <c r="E43" i="6"/>
  <c r="E41" i="6"/>
  <c r="E36" i="6"/>
  <c r="E161" i="6" l="1"/>
  <c r="E160" i="6"/>
  <c r="E167" i="6"/>
  <c r="E245" i="6" s="1"/>
  <c r="E152" i="6"/>
  <c r="E150" i="6"/>
  <c r="E146" i="6"/>
  <c r="E132" i="6"/>
  <c r="E131" i="6"/>
  <c r="E130" i="6"/>
  <c r="E129" i="6"/>
  <c r="E127" i="6"/>
  <c r="E124" i="6"/>
  <c r="E123" i="6"/>
  <c r="E122" i="6"/>
  <c r="E104" i="6"/>
  <c r="E103" i="6"/>
  <c r="E102" i="6"/>
  <c r="E101" i="6"/>
  <c r="E100" i="6"/>
  <c r="E99" i="6"/>
  <c r="E98" i="6"/>
  <c r="E97" i="6"/>
  <c r="E96" i="6"/>
  <c r="E95" i="6"/>
  <c r="E94" i="6"/>
  <c r="E93" i="6"/>
  <c r="E92" i="6"/>
  <c r="E90" i="6"/>
  <c r="E89" i="6"/>
  <c r="E88" i="6"/>
  <c r="E87" i="6"/>
  <c r="E86" i="6"/>
  <c r="E85" i="6"/>
  <c r="E84" i="6"/>
  <c r="E78" i="6"/>
  <c r="E76" i="6"/>
  <c r="E75" i="6"/>
  <c r="E73" i="6"/>
  <c r="E72" i="6"/>
  <c r="E71" i="6"/>
  <c r="E68" i="6"/>
  <c r="E65" i="6"/>
  <c r="E50" i="6"/>
  <c r="E55" i="6"/>
  <c r="E42" i="6"/>
  <c r="E38" i="6"/>
  <c r="E37" i="6"/>
  <c r="E35" i="6"/>
  <c r="E34" i="6"/>
  <c r="E33" i="6"/>
  <c r="E32" i="6"/>
  <c r="E31" i="6"/>
  <c r="E30" i="6"/>
  <c r="E29" i="6"/>
  <c r="E28" i="6"/>
  <c r="E27" i="6"/>
  <c r="E26" i="6"/>
  <c r="E25" i="6"/>
  <c r="E24" i="6"/>
  <c r="E23" i="6"/>
  <c r="E22" i="6"/>
  <c r="E21" i="6"/>
  <c r="E20" i="6"/>
  <c r="E19" i="6"/>
  <c r="E18" i="6"/>
  <c r="E17" i="6"/>
  <c r="E16" i="6"/>
  <c r="E15" i="6"/>
  <c r="E14" i="6"/>
  <c r="E13" i="6"/>
  <c r="E12" i="6"/>
  <c r="E11" i="6"/>
  <c r="E10" i="6"/>
  <c r="E9" i="6"/>
  <c r="E8" i="6"/>
  <c r="E7" i="6"/>
  <c r="E6" i="6"/>
  <c r="E5" i="6"/>
  <c r="E4" i="6"/>
  <c r="E3" i="6"/>
  <c r="E79" i="6" l="1"/>
  <c r="E117" i="6"/>
  <c r="E141" i="6"/>
  <c r="E162" i="6"/>
  <c r="E131" i="4"/>
  <c r="E130" i="4"/>
  <c r="E129" i="4"/>
  <c r="E132" i="4" l="1"/>
  <c r="E133" i="4" s="1"/>
  <c r="E134" i="4" l="1"/>
  <c r="E135" i="4" s="1"/>
  <c r="E66" i="1"/>
  <c r="E67" i="1"/>
  <c r="E65" i="1"/>
  <c r="E104" i="1"/>
  <c r="E105" i="1"/>
  <c r="E70" i="4"/>
  <c r="E71" i="4"/>
  <c r="E72" i="4"/>
  <c r="E73" i="4"/>
  <c r="E136" i="4" l="1"/>
  <c r="E94" i="4"/>
  <c r="E93" i="4"/>
  <c r="E92" i="4"/>
  <c r="E91" i="4"/>
  <c r="E90" i="4"/>
  <c r="E89" i="4"/>
  <c r="E88" i="4"/>
  <c r="E87" i="4"/>
  <c r="E81" i="4"/>
  <c r="E80" i="4"/>
  <c r="E79" i="4"/>
  <c r="E78" i="4"/>
  <c r="E77" i="4"/>
  <c r="E76" i="4"/>
  <c r="E75" i="4"/>
  <c r="E74" i="4"/>
  <c r="E69" i="4"/>
  <c r="E68" i="4"/>
  <c r="E67" i="4"/>
  <c r="E66" i="4"/>
  <c r="E65" i="4"/>
  <c r="E64" i="4"/>
  <c r="E63" i="4"/>
  <c r="E62" i="4"/>
  <c r="E61" i="4"/>
  <c r="E55" i="4"/>
  <c r="E54" i="4"/>
  <c r="E53" i="4"/>
  <c r="E52" i="4"/>
  <c r="E51" i="4"/>
  <c r="E50" i="4"/>
  <c r="E49" i="4"/>
  <c r="E48" i="4"/>
  <c r="E47" i="4"/>
  <c r="E46" i="4"/>
  <c r="E45" i="4"/>
  <c r="E42" i="4"/>
  <c r="E41" i="4"/>
  <c r="E40" i="4"/>
  <c r="E39" i="4"/>
  <c r="E38" i="4"/>
  <c r="E37" i="4"/>
  <c r="E36" i="4"/>
  <c r="E35" i="4"/>
  <c r="E34" i="4"/>
  <c r="E33" i="4"/>
  <c r="E32" i="4"/>
  <c r="E31" i="4"/>
  <c r="E30" i="4"/>
  <c r="E29" i="4"/>
  <c r="E28" i="4"/>
  <c r="E27" i="4"/>
  <c r="E26" i="4"/>
  <c r="E25" i="4"/>
  <c r="E24" i="4"/>
  <c r="E23" i="4"/>
  <c r="E22" i="4"/>
  <c r="E21" i="4"/>
  <c r="E20" i="4"/>
  <c r="E19" i="4"/>
  <c r="E18" i="4"/>
  <c r="E17" i="4"/>
  <c r="E16" i="4"/>
  <c r="E15" i="4"/>
  <c r="E14" i="4"/>
  <c r="E13" i="4"/>
  <c r="E12" i="4"/>
  <c r="E11" i="4"/>
  <c r="E10" i="4"/>
  <c r="E9" i="4"/>
  <c r="E8" i="4"/>
  <c r="E7" i="4"/>
  <c r="E6" i="4"/>
  <c r="E5" i="4"/>
  <c r="E4" i="4"/>
  <c r="E3" i="4"/>
  <c r="E137" i="4" l="1"/>
  <c r="E138" i="4" s="1"/>
  <c r="E95" i="4"/>
  <c r="E56" i="4"/>
  <c r="E82" i="4"/>
  <c r="E103" i="1"/>
  <c r="E46" i="1"/>
  <c r="E45" i="1"/>
  <c r="E38" i="1"/>
  <c r="E41" i="1"/>
  <c r="E40" i="1"/>
  <c r="E91" i="1"/>
  <c r="E92" i="1"/>
  <c r="E93" i="1"/>
  <c r="E94" i="1"/>
  <c r="E95" i="1"/>
  <c r="E96" i="1"/>
  <c r="E97" i="1"/>
  <c r="E90" i="1"/>
  <c r="E72" i="1"/>
  <c r="E68" i="1"/>
  <c r="E69" i="1"/>
  <c r="E70" i="1"/>
  <c r="E73" i="1"/>
  <c r="E74" i="1"/>
  <c r="E75" i="1"/>
  <c r="E76" i="1"/>
  <c r="E77" i="1"/>
  <c r="E78" i="1"/>
  <c r="E79" i="1"/>
  <c r="E80" i="1"/>
  <c r="E81" i="1"/>
  <c r="E82" i="1"/>
  <c r="E83" i="1"/>
  <c r="E84" i="1"/>
  <c r="E71" i="1"/>
  <c r="E62" i="1"/>
  <c r="E63" i="1"/>
  <c r="E64" i="1"/>
  <c r="E61" i="1"/>
  <c r="E55" i="1"/>
  <c r="E54" i="1"/>
  <c r="E50" i="1"/>
  <c r="E49" i="1"/>
  <c r="E53" i="1"/>
  <c r="E52" i="1"/>
  <c r="E47" i="1"/>
  <c r="E48" i="1"/>
  <c r="E51" i="1"/>
  <c r="E42" i="1"/>
  <c r="E23" i="1"/>
  <c r="E34" i="1"/>
  <c r="E32" i="1"/>
  <c r="E33" i="1"/>
  <c r="E22" i="1"/>
  <c r="E25" i="1"/>
  <c r="E26" i="1"/>
  <c r="E27" i="1"/>
  <c r="E28" i="1"/>
  <c r="E29" i="1"/>
  <c r="E30" i="1"/>
  <c r="E31" i="1"/>
  <c r="E35" i="1"/>
  <c r="E36" i="1"/>
  <c r="E37" i="1"/>
  <c r="E39" i="1"/>
  <c r="E17" i="1"/>
  <c r="E18" i="1"/>
  <c r="E19" i="1"/>
  <c r="E20" i="1"/>
  <c r="E21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24" i="1"/>
  <c r="E3" i="1"/>
  <c r="E98" i="4" l="1"/>
  <c r="E139" i="4"/>
  <c r="E106" i="1"/>
  <c r="E98" i="1"/>
  <c r="E85" i="1"/>
  <c r="E56" i="1"/>
  <c r="E140" i="4" l="1"/>
  <c r="E141" i="4" s="1"/>
  <c r="E109" i="1"/>
  <c r="E142" i="4" l="1"/>
  <c r="E143" i="4" l="1"/>
  <c r="E144" i="4"/>
  <c r="E145" i="4" l="1"/>
  <c r="E146" i="4"/>
  <c r="E147" i="4" l="1"/>
  <c r="E148" i="4" l="1"/>
  <c r="E149" i="4" s="1"/>
  <c r="E150" i="4" s="1"/>
  <c r="E151" i="4" s="1"/>
  <c r="E272" i="6"/>
</calcChain>
</file>

<file path=xl/sharedStrings.xml><?xml version="1.0" encoding="utf-8"?>
<sst xmlns="http://schemas.openxmlformats.org/spreadsheetml/2006/main" count="3437" uniqueCount="394">
  <si>
    <t>Désignation</t>
  </si>
  <si>
    <t>Prix</t>
  </si>
  <si>
    <t>VIS 3x10</t>
  </si>
  <si>
    <t>Quantité</t>
  </si>
  <si>
    <t>VIS 3x16</t>
  </si>
  <si>
    <t>VIS 3X20</t>
  </si>
  <si>
    <t>VIS 3X25</t>
  </si>
  <si>
    <t>VIS 3X30</t>
  </si>
  <si>
    <t>VIS 3X35</t>
  </si>
  <si>
    <t>VIS 3X40</t>
  </si>
  <si>
    <t>VIS 3,5X16</t>
  </si>
  <si>
    <t>VIS 3,5X20</t>
  </si>
  <si>
    <t>VIS 3,5X25</t>
  </si>
  <si>
    <t>VIS 3,5X30</t>
  </si>
  <si>
    <t>VIS 3,5X35</t>
  </si>
  <si>
    <t>VIS 3,5X40</t>
  </si>
  <si>
    <t>VIS 3,5X50</t>
  </si>
  <si>
    <t>VIS 4X16</t>
  </si>
  <si>
    <t>VIS 4X20</t>
  </si>
  <si>
    <t>VIS 4X25</t>
  </si>
  <si>
    <t>VIS 4X30</t>
  </si>
  <si>
    <t>VIS 4X35</t>
  </si>
  <si>
    <t>VIS 4X40</t>
  </si>
  <si>
    <t>VIS 4X45</t>
  </si>
  <si>
    <t>VIS 4X50</t>
  </si>
  <si>
    <t>Visseries,clous et chevilles</t>
  </si>
  <si>
    <t>VIS 4,5X20</t>
  </si>
  <si>
    <t>VIS 4,5X25</t>
  </si>
  <si>
    <t>VIS 4,5X30</t>
  </si>
  <si>
    <t>VIS 4,5X35</t>
  </si>
  <si>
    <t>VIS 4,5X40</t>
  </si>
  <si>
    <t>VIS 4,5X45</t>
  </si>
  <si>
    <t>VIS 4,5X50</t>
  </si>
  <si>
    <t>VIS 5X50</t>
  </si>
  <si>
    <t>VIS 5X60</t>
  </si>
  <si>
    <t>VIS 5X70</t>
  </si>
  <si>
    <t>VIS 5X80</t>
  </si>
  <si>
    <t>VIS 5X100</t>
  </si>
  <si>
    <t>VIS PENTURES 6X30</t>
  </si>
  <si>
    <t>VIS PENTURES 6X50</t>
  </si>
  <si>
    <t>CLOU TÊTE HOMME</t>
  </si>
  <si>
    <t>CLOU TÊTE PLATE</t>
  </si>
  <si>
    <t>CHEVILLES PAROI CREUSE 6X50</t>
  </si>
  <si>
    <t>CHEVILLES PAROI CREUSE 8X55</t>
  </si>
  <si>
    <t>VIS 6X180</t>
  </si>
  <si>
    <t>CACHE VIS BLANC</t>
  </si>
  <si>
    <t>CHEVILLES 14X140</t>
  </si>
  <si>
    <t>VIS EURO</t>
  </si>
  <si>
    <t>CHEVILLES SPIT ZAMAK</t>
  </si>
  <si>
    <t>CHEVILLES CRAMPON</t>
  </si>
  <si>
    <t>CHEVILLES NYLON 8X40</t>
  </si>
  <si>
    <t>CHEVILLES NYLON 6X30</t>
  </si>
  <si>
    <t>SUPPORT TOURILLON QUEUE DE 5</t>
  </si>
  <si>
    <t>TUBES OVALE</t>
  </si>
  <si>
    <t>Consomable</t>
  </si>
  <si>
    <t>Colles et vernis</t>
  </si>
  <si>
    <t>Prix a l'unité</t>
  </si>
  <si>
    <t>bobine d'essuyage</t>
  </si>
  <si>
    <t>Gants nitrile</t>
  </si>
  <si>
    <t>feuille abrasive auto agrip GR 80</t>
  </si>
  <si>
    <t>feuille abrasive auto agrip GR 220</t>
  </si>
  <si>
    <t>Eponge abrasive 2 faces</t>
  </si>
  <si>
    <t>Supratac 569</t>
  </si>
  <si>
    <t>Ms 108 polymer</t>
  </si>
  <si>
    <t>Silicon sanitaire</t>
  </si>
  <si>
    <t>Rouleau adesif thecpro</t>
  </si>
  <si>
    <t>Rouleau adesif double faces</t>
  </si>
  <si>
    <t>Rouleau adesif masquage peinture</t>
  </si>
  <si>
    <t>Degripant WD 40</t>
  </si>
  <si>
    <t>Gliss bois</t>
  </si>
  <si>
    <t>Feutre retouche blanc</t>
  </si>
  <si>
    <t>Feutre retouche palissandre</t>
  </si>
  <si>
    <t>Feutre retouche meurisier clair</t>
  </si>
  <si>
    <t>Feutre retouche noyer foncé</t>
  </si>
  <si>
    <t>VIS AUTOPERC</t>
  </si>
  <si>
    <t>Cales fourchettes 5 mm</t>
  </si>
  <si>
    <t>Cales fourchettes 1 mm</t>
  </si>
  <si>
    <t>ECROU 14MM</t>
  </si>
  <si>
    <t>RONDELLES 10MM</t>
  </si>
  <si>
    <t>Materiaux</t>
  </si>
  <si>
    <t>MDF 19mm 2800x2070</t>
  </si>
  <si>
    <t>unité</t>
  </si>
  <si>
    <t>pc</t>
  </si>
  <si>
    <t>kg</t>
  </si>
  <si>
    <t>ml</t>
  </si>
  <si>
    <t>rouleau</t>
  </si>
  <si>
    <t>bombe</t>
  </si>
  <si>
    <t>cartouche</t>
  </si>
  <si>
    <t>m²</t>
  </si>
  <si>
    <t>Sol stratifié uniclic cl 1653</t>
  </si>
  <si>
    <t>Sous couche quick step</t>
  </si>
  <si>
    <t>rl</t>
  </si>
  <si>
    <t>Lamelles</t>
  </si>
  <si>
    <t>boite</t>
  </si>
  <si>
    <t>Purlogic colle mousse pu 800ml</t>
  </si>
  <si>
    <t>Teinte 1952</t>
  </si>
  <si>
    <t>l</t>
  </si>
  <si>
    <t>Teinte 2772</t>
  </si>
  <si>
    <t>Vernis remmres tl 412/20</t>
  </si>
  <si>
    <t>Diluant sa 5724</t>
  </si>
  <si>
    <t>PANNEAUX  W 1000 ST 9</t>
  </si>
  <si>
    <t>PANNEAUX W 980 ST 2</t>
  </si>
  <si>
    <t>Bande abrasive grain 60 100 X 600</t>
  </si>
  <si>
    <t>Bande abrasive grain 80 100 X 600</t>
  </si>
  <si>
    <t>Bande abrasive grain 100 100 X 600</t>
  </si>
  <si>
    <t>Bande abrasive grain 120 100 X 600</t>
  </si>
  <si>
    <t>Bande abrasive grain 80 120 X 7000</t>
  </si>
  <si>
    <t>Bande abrasive grain 100 120 X 7000</t>
  </si>
  <si>
    <t>Bande abrasive grain 120 120 X 7002</t>
  </si>
  <si>
    <t>TOTAL</t>
  </si>
  <si>
    <t>Quincallerie</t>
  </si>
  <si>
    <t>Bande abrasive 600 x 100 grain 60</t>
  </si>
  <si>
    <t>Bande abrasive 600 x 100 grain 80</t>
  </si>
  <si>
    <t>Bande abrasive 600 x 100 grain 100</t>
  </si>
  <si>
    <t>Bande abrasive 600 x 100 grain 120</t>
  </si>
  <si>
    <t>Quincaillerie</t>
  </si>
  <si>
    <t>Total</t>
  </si>
  <si>
    <t>Rouleau de chant W 980 ST2</t>
  </si>
  <si>
    <t>VIS 5X90</t>
  </si>
  <si>
    <t>VIS 6X120</t>
  </si>
  <si>
    <t>VIS AMO III TET RED AW30 7,5X92 ZI</t>
  </si>
  <si>
    <t>centaine</t>
  </si>
  <si>
    <t>VIS AMO III TET RED AW30 7,5X112 ZI</t>
  </si>
  <si>
    <t>VIS AMO III TET RED AW30 7,5X152 ZI</t>
  </si>
  <si>
    <t>TIR6FOND 8X60</t>
  </si>
  <si>
    <t>TIGE FILETEE W-VD-A/S N10-30/130</t>
  </si>
  <si>
    <t>VIS FERMACELL 3,9X35</t>
  </si>
  <si>
    <t>BOULON TETE RONDE COLLET 6X45</t>
  </si>
  <si>
    <t>ECROU M10</t>
  </si>
  <si>
    <t>VIS AUTOFOREUSE TETE FRAISEE 3,9X19</t>
  </si>
  <si>
    <t xml:space="preserve">VIS AUTOFOREUSE TETE BOMBEE 4,8X32 </t>
  </si>
  <si>
    <t xml:space="preserve">VIS AUTOFOREUSE TETE BOMBEE 3X13 </t>
  </si>
  <si>
    <t>VIS POLLIER 6X50</t>
  </si>
  <si>
    <t>VIS PENTURES 6X40 INOX</t>
  </si>
  <si>
    <t>ECROU M 8</t>
  </si>
  <si>
    <t>VIS PAS METRIQUE 4X10</t>
  </si>
  <si>
    <t>ECROU M14</t>
  </si>
  <si>
    <t>RONDELLES DIAM 6 mm</t>
  </si>
  <si>
    <t>RONDELLES DIAM 10mm</t>
  </si>
  <si>
    <t>RONDELLES DIAM 15mm</t>
  </si>
  <si>
    <t>CHEVILLES NYLON 8X46</t>
  </si>
  <si>
    <t>GOUJON 90x10</t>
  </si>
  <si>
    <t>CERFLEX 12/22 mm</t>
  </si>
  <si>
    <t>CHEVILLES PAROI CREUSE 6X63</t>
  </si>
  <si>
    <t>Rouleau adhesif double faces</t>
  </si>
  <si>
    <t>Rouleau adhesif orange thecpro</t>
  </si>
  <si>
    <t>Rouleau adhesif masquage peinture</t>
  </si>
  <si>
    <t>Bande abrasive grain 120 120 X 7003</t>
  </si>
  <si>
    <t>Cales fourchettes 4 mm</t>
  </si>
  <si>
    <t>Cales fourchettes 3 mm</t>
  </si>
  <si>
    <t>Cales fourchettes 2 mm</t>
  </si>
  <si>
    <t>Rouleau papier WC</t>
  </si>
  <si>
    <t>Le mille</t>
  </si>
  <si>
    <t>Gants Wurth taille 9</t>
  </si>
  <si>
    <t>Boite de lingettes Swipex</t>
  </si>
  <si>
    <t>Seau melange peinture 2300 ml</t>
  </si>
  <si>
    <t>Couvercle seau 2300 ml</t>
  </si>
  <si>
    <t>Seau melange peinture 750 ml</t>
  </si>
  <si>
    <t>Couvercle seau 750 ml</t>
  </si>
  <si>
    <t>Ms polymer HIGH TACK</t>
  </si>
  <si>
    <t>Flexifoam</t>
  </si>
  <si>
    <t>Mastic acrylique blanc</t>
  </si>
  <si>
    <t>WIT-VM 250 Scelement chimique</t>
  </si>
  <si>
    <t>Traitement IFH</t>
  </si>
  <si>
    <t>Primaire isolation blanc</t>
  </si>
  <si>
    <t>Peinture Ral 6027</t>
  </si>
  <si>
    <t>Anti mousse</t>
  </si>
  <si>
    <t>Colle néopréne</t>
  </si>
  <si>
    <t>Colle Vinylique D3</t>
  </si>
  <si>
    <t>Colle cyanoacrylate</t>
  </si>
  <si>
    <t>pot</t>
  </si>
  <si>
    <t>Activateur colle cyano</t>
  </si>
  <si>
    <t>Matériaux</t>
  </si>
  <si>
    <t>Chants ABS</t>
  </si>
  <si>
    <t>MDF 19mm HYDRO 2800x2070</t>
  </si>
  <si>
    <t>PX MELA  W 980  ST 2 8 mm</t>
  </si>
  <si>
    <t>PX MELA  W 980  ST 2 16 mm</t>
  </si>
  <si>
    <t>PX MELA W 980 ST 2 19 mm</t>
  </si>
  <si>
    <t>PX MELA  H 1334 ST 9</t>
  </si>
  <si>
    <t>PX MELA U 332 ST 9</t>
  </si>
  <si>
    <t>CP OKOUME 3100X1530</t>
  </si>
  <si>
    <t>DALLE D'AGENCEMENT 2040 X 910</t>
  </si>
  <si>
    <t>FERMACELL SOL 1500 X 500</t>
  </si>
  <si>
    <t>MONTANT PLACO 2,5 X 48</t>
  </si>
  <si>
    <t>SEMELLE PLACO 3 X 48</t>
  </si>
  <si>
    <t>FOURURRE F 530 3 ml</t>
  </si>
  <si>
    <t>PX MELA  H 1379 ST 36</t>
  </si>
  <si>
    <t>Rouleau de chant U 625</t>
  </si>
  <si>
    <t>Rouleau de chant W 1000 ST 38</t>
  </si>
  <si>
    <t>Rouleau de chant W 1100 ST 9</t>
  </si>
  <si>
    <t>Rouleau de chant W 1000 ST 9</t>
  </si>
  <si>
    <t>Rouleau de chant U 332 ST 9</t>
  </si>
  <si>
    <t>Rouleau de chant H1122 ST 22</t>
  </si>
  <si>
    <t>Rouleau de chant U 156 ST 9</t>
  </si>
  <si>
    <t>Rouleau de chant U 323 ST9</t>
  </si>
  <si>
    <t>Rouleau de chant U 1334 ST 9</t>
  </si>
  <si>
    <t>Rouleau de chant U 961 ST 2</t>
  </si>
  <si>
    <t>Rouleau de chant U 1379 ST 36</t>
  </si>
  <si>
    <t>Rouleau de chant H 1733 ST 9</t>
  </si>
  <si>
    <t>Rouleau de chant H 3157 ST 12</t>
  </si>
  <si>
    <t>Rouleau de chant H 3470 ST 9</t>
  </si>
  <si>
    <t>Rouleau de chant Blanc polair</t>
  </si>
  <si>
    <t>Rouleau de chant Frêne naturel</t>
  </si>
  <si>
    <t>paire</t>
  </si>
  <si>
    <t>Coulisses movento BM 480 mm</t>
  </si>
  <si>
    <t>Coulisses movento BM 500 mm</t>
  </si>
  <si>
    <t>Coulisses movento BM 550 mm</t>
  </si>
  <si>
    <t>Coulisses movento BM 600 mm</t>
  </si>
  <si>
    <t>Coulisses movento TIP-ON BM 450 mm</t>
  </si>
  <si>
    <t>Coulisses movento TIP-ON BM 550 mm</t>
  </si>
  <si>
    <t>Accouplement reglage lateral gauche</t>
  </si>
  <si>
    <t>Accouplement reglage lateral droite</t>
  </si>
  <si>
    <t>Accouplement gauche</t>
  </si>
  <si>
    <t>Accouplement droite</t>
  </si>
  <si>
    <t>Charnières 110°porte a encastrer avec frein inserta</t>
  </si>
  <si>
    <t>Charnières 110°porte jumelée avec frein inserta</t>
  </si>
  <si>
    <t>Charnières 110°porte en applique avec frein inserta</t>
  </si>
  <si>
    <t>Charnières 110°porte en applique sans resort inserta</t>
  </si>
  <si>
    <t>Charnières 110°porte en applique sans frein inserta</t>
  </si>
  <si>
    <t>Charnières 110°porte a encastrer sans frein à visser</t>
  </si>
  <si>
    <t>Charnières 95° fixat° dans le prolongement porte</t>
  </si>
  <si>
    <t>Charnières 95° fixat° dans le prolongement porte a visser</t>
  </si>
  <si>
    <t>Charnières 155°porte en applique sans frein inserta</t>
  </si>
  <si>
    <t>Charnières 155°porte en jumelée sans frein inserta</t>
  </si>
  <si>
    <t>Embase montage sur cadre</t>
  </si>
  <si>
    <t>Embase en croix</t>
  </si>
  <si>
    <t>Embase droite</t>
  </si>
  <si>
    <t>Synchronisation de coulisses movento</t>
  </si>
  <si>
    <t>Axe de syncronisation</t>
  </si>
  <si>
    <t>Fiche execta</t>
  </si>
  <si>
    <t>Fiche anuba</t>
  </si>
  <si>
    <t>Paumelle picarde GP</t>
  </si>
  <si>
    <t>Paumelle picarde DP</t>
  </si>
  <si>
    <t>Support penderie sous étagère</t>
  </si>
  <si>
    <t>Support penderie coté de meuble</t>
  </si>
  <si>
    <t>Attache façade tiroir a l'anglaise</t>
  </si>
  <si>
    <t>Support tourillon queue de 5</t>
  </si>
  <si>
    <t>Tenso P-14</t>
  </si>
  <si>
    <t>Clamex P-14</t>
  </si>
  <si>
    <t>TAMIS DE SCELLEMENT</t>
  </si>
  <si>
    <t>Tubes ovale</t>
  </si>
  <si>
    <t>Pièce avant pour tiroir a l'anglaise blanc soie</t>
  </si>
  <si>
    <t>Gonds simple à sceller</t>
  </si>
  <si>
    <t>Gonds double à sceller</t>
  </si>
  <si>
    <t>Arrêt marseillais 10 x 130</t>
  </si>
  <si>
    <t>Arrêt marseillais 10 x 100</t>
  </si>
  <si>
    <t>Cremaillère de volet</t>
  </si>
  <si>
    <t>Mini verin reglable</t>
  </si>
  <si>
    <t>Verin compensateur de niveau 100 Kg</t>
  </si>
  <si>
    <t>Verin compensateur de niveau 150 Kg</t>
  </si>
  <si>
    <t xml:space="preserve">Patin 1 pointe Teflon </t>
  </si>
  <si>
    <t>Patin 1 pointe Moquette</t>
  </si>
  <si>
    <t>Clips de plinthe</t>
  </si>
  <si>
    <t>Pieds reglable Ht 80 mm  (Le sachet de 4 pieds)</t>
  </si>
  <si>
    <t>Pieds reglable Ht 100 mm  (Le sachet de 4 pieds)</t>
  </si>
  <si>
    <t>Pieds reglable Ht 200 mm  (Le sachet de 4 pieds)</t>
  </si>
  <si>
    <t>Ensemble sur plaque sans perçage</t>
  </si>
  <si>
    <t>Ensemble sur plaque condanation</t>
  </si>
  <si>
    <t>Ensemble sur plaque clé L</t>
  </si>
  <si>
    <t>Ensemble sur plaque clé I inox</t>
  </si>
  <si>
    <t>Ensemble sur béquille double inox</t>
  </si>
  <si>
    <t>Serrure à condannation Axe à 40</t>
  </si>
  <si>
    <t>Serrure à clé L Axe à 40</t>
  </si>
  <si>
    <t>Serrure à clé I Axe à 40</t>
  </si>
  <si>
    <t>Poignée fenêtre inox</t>
  </si>
  <si>
    <t>Gâche plate avec penne 1/2 tour</t>
  </si>
  <si>
    <t>Gâche plate bec de canne</t>
  </si>
  <si>
    <t>Rosace TDC ronde gris Manhattan cle L</t>
  </si>
  <si>
    <t>Pattes d'assemblage</t>
  </si>
  <si>
    <t>Serrure à condannation Axe à 50</t>
  </si>
  <si>
    <t>Serrure à clé L Axe à 50</t>
  </si>
  <si>
    <t>Serrure à clé I Axe à 50</t>
  </si>
  <si>
    <t>Tip-on blum</t>
  </si>
  <si>
    <t>Aimant raly 6</t>
  </si>
  <si>
    <t>Bouton à encoche inox Diam 20 ht 25</t>
  </si>
  <si>
    <t>Equerre plastique blanc</t>
  </si>
  <si>
    <t>Verrou à coulisse 100 mm</t>
  </si>
  <si>
    <t>Verrou à baïonnette 500 mm</t>
  </si>
  <si>
    <t>Verrou Vachette réf: 760</t>
  </si>
  <si>
    <t>Judas</t>
  </si>
  <si>
    <t>Pieds de poteau 71 x 150 mm</t>
  </si>
  <si>
    <t>VIS DE JUMELLAGE</t>
  </si>
  <si>
    <t>Joint Kiso 12 x 3</t>
  </si>
  <si>
    <t>Rouleau de chant U311 ST9</t>
  </si>
  <si>
    <t>Bande abrasive grain 120 120 X 7000</t>
  </si>
  <si>
    <t xml:space="preserve">Ms polymer </t>
  </si>
  <si>
    <t>Bande abrasive grain 40 100 X 600</t>
  </si>
  <si>
    <t>feuille abrasive auto agrip GR 100</t>
  </si>
  <si>
    <t>PX MELA W 1000 ST  19 mm</t>
  </si>
  <si>
    <t>PX MELA H 1122 ST  19 mm</t>
  </si>
  <si>
    <t>Silicone transparent</t>
  </si>
  <si>
    <t>Code Foussier</t>
  </si>
  <si>
    <t>Code Wurth</t>
  </si>
  <si>
    <t>Divers</t>
  </si>
  <si>
    <t>Tente pliante</t>
  </si>
  <si>
    <t>PANNEAU SUPPL P/TENTE PLIANTE</t>
  </si>
  <si>
    <t>Pc</t>
  </si>
  <si>
    <t>LINGETTES NETTOYANTES SCRUBS SEAU 72</t>
  </si>
  <si>
    <t>Sceau</t>
  </si>
  <si>
    <t>ENTRETOISES P/ SPACE STEP 410MM X2</t>
  </si>
  <si>
    <t>SET SPACE STEP 460MM GRIS ORION</t>
  </si>
  <si>
    <t>NETTOYANT MOUSSE PU TECHPRO 500ML</t>
  </si>
  <si>
    <t>METRE ARMOR BLADE FATMAX 5MX32MM</t>
  </si>
  <si>
    <t>VIS EXCLUSIVE TORX 4X60/35 ZN T20 X500</t>
  </si>
  <si>
    <t xml:space="preserve">CHARN CTOP 13MM BLUMO 110°jumellé INSER </t>
  </si>
  <si>
    <t xml:space="preserve">CHARN CTOP 13MM BLUMO 110°applique INSER </t>
  </si>
  <si>
    <t xml:space="preserve">CHARN CTOP 13MM BLUMO 110°encastrée INSER </t>
  </si>
  <si>
    <t>Verins compensateur réglable H 32</t>
  </si>
  <si>
    <t>Verins compensateur réglable H 70</t>
  </si>
  <si>
    <t xml:space="preserve">Coulisse Movento 270 mm Blumotion 40 Kg </t>
  </si>
  <si>
    <t>Rlx</t>
  </si>
  <si>
    <t>JOINT PRECOMPRIM 15/5−14 20X4.3M TECHPRO</t>
  </si>
  <si>
    <t>BACHE PROTEC BLANCHE ADHESIF 1MX25M</t>
  </si>
  <si>
    <t>JOINT TPE S0680 MAISON BRUN RTSQ 150M</t>
  </si>
  <si>
    <t xml:space="preserve">Coulisse Movento 450 mm Blumotion 40 Kg </t>
  </si>
  <si>
    <t xml:space="preserve">Coulisse Movento 480 mm Blumotion 40 Kg </t>
  </si>
  <si>
    <t xml:space="preserve">Coulisse Movento 600 mm Blumotion 40 Kg </t>
  </si>
  <si>
    <t xml:space="preserve">Coulisse Movento 450 mm Blumotion 60 Kg </t>
  </si>
  <si>
    <t xml:space="preserve">Coulisse Movento 600 mm Blumotion 60 Kg </t>
  </si>
  <si>
    <t xml:space="preserve">Coulisse Movento 550 mm TIPON 60 Kg </t>
  </si>
  <si>
    <t xml:space="preserve">Coulisse Movento 750 mm TIPON 60 Kg </t>
  </si>
  <si>
    <t>Accouplement ravec réglage laterale MOVENTO D</t>
  </si>
  <si>
    <t>Accouplement ravec réglage laterale MOVENTO G</t>
  </si>
  <si>
    <t>Acouplement pour coullisse TANDEM D</t>
  </si>
  <si>
    <t>Acouplement pour coullisse TANDEM G</t>
  </si>
  <si>
    <t>Coulisse TANDEM 550 mm 30 Kg</t>
  </si>
  <si>
    <t>Coulisse TANDEM 400 mm 30 Kg</t>
  </si>
  <si>
    <t>CHARN 155° PORTE JUMELLE INSER</t>
  </si>
  <si>
    <t>CHARN 155° PORTE APPLIQUE INSER</t>
  </si>
  <si>
    <t>Paire</t>
  </si>
  <si>
    <t xml:space="preserve">Coulisse Movento 500 mm Blumotion 40 Kg </t>
  </si>
  <si>
    <t xml:space="preserve">Coulisse Movento 400 mm Blumotion 40 Kg </t>
  </si>
  <si>
    <t>Barrete de fixation camar</t>
  </si>
  <si>
    <t xml:space="preserve">Barrete de fixation </t>
  </si>
  <si>
    <t>Suspention anti decrochage 801 gauche</t>
  </si>
  <si>
    <t>Suspention anti decrochage 801 droite</t>
  </si>
  <si>
    <t>Cache de fixation blanc pour suspention 801 gauche</t>
  </si>
  <si>
    <t>Cache de fixation blanc pour suspention 801 droit</t>
  </si>
  <si>
    <t>Set tip-on blum T60L7570</t>
  </si>
  <si>
    <t>Set tip-on blum T60L7040</t>
  </si>
  <si>
    <t>Set tip-on blum T60B3530</t>
  </si>
  <si>
    <t>Set tip-on blum T60B300-08.02</t>
  </si>
  <si>
    <t>Fiche execta Mâle</t>
  </si>
  <si>
    <t>Fiche execta Femelle</t>
  </si>
  <si>
    <t>Paumelle renforcée contre-coudée GP</t>
  </si>
  <si>
    <t>Paumelle renforcée contre-coudée DP</t>
  </si>
  <si>
    <t>TIP-ON ressort puissant</t>
  </si>
  <si>
    <t>TIP-ON ressort normal</t>
  </si>
  <si>
    <t>Support blanc droit TIP-ON</t>
  </si>
  <si>
    <t>Passe cable Plastique blanc</t>
  </si>
  <si>
    <t>Passe cable Plastique noir</t>
  </si>
  <si>
    <t>Passe cable Plastique marron</t>
  </si>
  <si>
    <t>Passe cable metal</t>
  </si>
  <si>
    <t>loqueteau magnétique</t>
  </si>
  <si>
    <t>Bloc boy basic</t>
  </si>
  <si>
    <t>Buté de bequille Bumms 40 mm</t>
  </si>
  <si>
    <t>Buté de bequille Bumms 50 mm</t>
  </si>
  <si>
    <t>Buté standard minéral</t>
  </si>
  <si>
    <t>butée plastique a balustre</t>
  </si>
  <si>
    <t>tourillon 8 x 30</t>
  </si>
  <si>
    <t>feuille abrasive auto agrip GR 60</t>
  </si>
  <si>
    <t>Papier abranet mirka 150 mm GR 40</t>
  </si>
  <si>
    <t>Papier abranet mirka 150 mm GR 100</t>
  </si>
  <si>
    <t>Papier abranet mirka 150 mm GR 150</t>
  </si>
  <si>
    <t>Papier abrasif net Stroxx 150 mm GR 120</t>
  </si>
  <si>
    <t>Papier abrasif blue line 125 mm GR 80</t>
  </si>
  <si>
    <t>Papier abrasif blue line 125 mm GR 100</t>
  </si>
  <si>
    <t>Papier abrasif blue line 125 mm GR 120</t>
  </si>
  <si>
    <t>Papier abranet mirka 150 mm GR 80 x 50u</t>
  </si>
  <si>
    <t>50pc</t>
  </si>
  <si>
    <t>100pc</t>
  </si>
  <si>
    <t>25pc</t>
  </si>
  <si>
    <t>Cale à poncer</t>
  </si>
  <si>
    <t>lot de 2</t>
  </si>
  <si>
    <t>Sac de pellet de 15 kg</t>
  </si>
  <si>
    <t>PX PARTICULE REPLAQUE FRENE CHOIX A/B</t>
  </si>
  <si>
    <t>Support pour traverse de renfort</t>
  </si>
  <si>
    <t>Piton sur platine</t>
  </si>
  <si>
    <t>Stabilisateur laterale movento</t>
  </si>
  <si>
    <t>Barre de stabilisateur transversal</t>
  </si>
  <si>
    <t>Axe de syncronisation TIP-ON BLUMOTION</t>
  </si>
  <si>
    <t>Profil alu en applique ou a encastrer</t>
  </si>
  <si>
    <t>Diffuseur pour profil en applique</t>
  </si>
  <si>
    <t>Roulette S14</t>
  </si>
  <si>
    <t>Taquet systemetac blanc</t>
  </si>
  <si>
    <t>Taquet systemetac noir</t>
  </si>
  <si>
    <t>Le cent</t>
  </si>
  <si>
    <t>Support pour rayonnage</t>
  </si>
  <si>
    <t>X</t>
  </si>
  <si>
    <t>Support gris droit TIP-ON</t>
  </si>
  <si>
    <t>Support noir droit TIP-ON</t>
  </si>
  <si>
    <t xml:space="preserve">Coulisse Movento 550 mm TIPON 40 Kg </t>
  </si>
  <si>
    <t>Piton sur platine (support de barre à penderie)</t>
  </si>
  <si>
    <t>l'unité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</si>
</sst>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1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8"/>
      <name val="Calibri"/>
      <family val="2"/>
      <scheme val="minor"/>
    </font>
    <font>
      <sz val="20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1" fillId="0" borderId="0" xfId="0" applyFont="1"/>
    <xf numFmtId="0" fontId="0" fillId="0" borderId="5" xfId="0" applyBorder="1"/>
    <xf numFmtId="0" fontId="0" fillId="0" borderId="6" xfId="0" applyBorder="1"/>
    <xf numFmtId="0" fontId="0" fillId="0" borderId="6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0" xfId="0" applyFont="1"/>
    <xf numFmtId="0" fontId="4" fillId="0" borderId="1" xfId="0" applyFont="1" applyBorder="1"/>
    <xf numFmtId="0" fontId="4" fillId="0" borderId="1" xfId="0" applyFont="1" applyBorder="1" applyAlignment="1">
      <alignment wrapText="1"/>
    </xf>
    <xf numFmtId="0" fontId="4" fillId="0" borderId="0" xfId="0" applyFont="1" applyAlignment="1">
      <alignment horizontal="center" vertical="center"/>
    </xf>
    <xf numFmtId="0" fontId="4" fillId="0" borderId="6" xfId="0" applyFont="1" applyBorder="1"/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164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4" fillId="0" borderId="4" xfId="0" applyFont="1" applyBorder="1"/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1"/>
  <sheetViews>
    <sheetView workbookViewId="0">
      <selection activeCell="D98" sqref="D98"/>
    </sheetView>
  </sheetViews>
  <sheetFormatPr baseColWidth="10" defaultRowHeight="15" x14ac:dyDescent="0.25"/>
  <cols>
    <col min="1" max="1" width="45.5703125" customWidth="1"/>
  </cols>
  <sheetData>
    <row r="1" spans="1:6" ht="40.5" customHeight="1" x14ac:dyDescent="0.4">
      <c r="A1" s="29" t="s">
        <v>25</v>
      </c>
      <c r="B1" s="30"/>
      <c r="C1" s="30"/>
      <c r="D1" s="30"/>
      <c r="E1" s="31"/>
      <c r="F1" s="3"/>
    </row>
    <row r="2" spans="1:6" ht="17.25" customHeight="1" x14ac:dyDescent="0.25">
      <c r="A2" s="2" t="s">
        <v>0</v>
      </c>
      <c r="B2" s="2" t="s">
        <v>3</v>
      </c>
      <c r="C2" s="2" t="s">
        <v>56</v>
      </c>
      <c r="D2" s="2" t="s">
        <v>81</v>
      </c>
      <c r="E2" s="2" t="s">
        <v>1</v>
      </c>
    </row>
    <row r="3" spans="1:6" x14ac:dyDescent="0.25">
      <c r="A3" s="1" t="s">
        <v>2</v>
      </c>
      <c r="B3" s="1">
        <v>1000</v>
      </c>
      <c r="C3" s="1">
        <v>0.99</v>
      </c>
      <c r="D3" s="2" t="s">
        <v>82</v>
      </c>
      <c r="E3" s="1">
        <f t="shared" ref="E3:E37" si="0">B3*C3/100</f>
        <v>9.9</v>
      </c>
    </row>
    <row r="4" spans="1:6" x14ac:dyDescent="0.25">
      <c r="A4" s="1" t="s">
        <v>4</v>
      </c>
      <c r="B4" s="1">
        <v>1000</v>
      </c>
      <c r="C4" s="1">
        <v>1.05</v>
      </c>
      <c r="D4" s="2" t="s">
        <v>82</v>
      </c>
      <c r="E4" s="1">
        <f t="shared" si="0"/>
        <v>10.5</v>
      </c>
    </row>
    <row r="5" spans="1:6" x14ac:dyDescent="0.25">
      <c r="A5" s="1" t="s">
        <v>5</v>
      </c>
      <c r="B5" s="1">
        <v>1000</v>
      </c>
      <c r="C5" s="1">
        <v>1.05</v>
      </c>
      <c r="D5" s="2" t="s">
        <v>82</v>
      </c>
      <c r="E5" s="1">
        <f t="shared" si="0"/>
        <v>10.5</v>
      </c>
    </row>
    <row r="6" spans="1:6" x14ac:dyDescent="0.25">
      <c r="A6" s="1" t="s">
        <v>6</v>
      </c>
      <c r="B6" s="1">
        <v>1000</v>
      </c>
      <c r="C6" s="1">
        <v>1.17</v>
      </c>
      <c r="D6" s="2" t="s">
        <v>82</v>
      </c>
      <c r="E6" s="1">
        <f t="shared" si="0"/>
        <v>11.7</v>
      </c>
    </row>
    <row r="7" spans="1:6" x14ac:dyDescent="0.25">
      <c r="A7" s="1" t="s">
        <v>7</v>
      </c>
      <c r="B7" s="1">
        <v>1000</v>
      </c>
      <c r="C7" s="1">
        <v>1.23</v>
      </c>
      <c r="D7" s="2" t="s">
        <v>82</v>
      </c>
      <c r="E7" s="1">
        <f t="shared" si="0"/>
        <v>12.3</v>
      </c>
    </row>
    <row r="8" spans="1:6" x14ac:dyDescent="0.25">
      <c r="A8" s="1" t="s">
        <v>8</v>
      </c>
      <c r="B8" s="1">
        <v>1000</v>
      </c>
      <c r="C8" s="1">
        <v>1.35</v>
      </c>
      <c r="D8" s="2" t="s">
        <v>82</v>
      </c>
      <c r="E8" s="1">
        <f t="shared" si="0"/>
        <v>13.5</v>
      </c>
    </row>
    <row r="9" spans="1:6" x14ac:dyDescent="0.25">
      <c r="A9" s="1" t="s">
        <v>9</v>
      </c>
      <c r="B9" s="1">
        <v>400</v>
      </c>
      <c r="C9" s="1">
        <v>1.81</v>
      </c>
      <c r="D9" s="2" t="s">
        <v>82</v>
      </c>
      <c r="E9" s="1">
        <f t="shared" si="0"/>
        <v>7.24</v>
      </c>
    </row>
    <row r="10" spans="1:6" x14ac:dyDescent="0.25">
      <c r="A10" s="1" t="s">
        <v>10</v>
      </c>
      <c r="B10" s="1">
        <v>200</v>
      </c>
      <c r="C10" s="1">
        <v>1.05</v>
      </c>
      <c r="D10" s="2" t="s">
        <v>82</v>
      </c>
      <c r="E10" s="1">
        <f t="shared" si="0"/>
        <v>2.1</v>
      </c>
    </row>
    <row r="11" spans="1:6" x14ac:dyDescent="0.25">
      <c r="A11" s="1" t="s">
        <v>11</v>
      </c>
      <c r="B11" s="1">
        <v>250</v>
      </c>
      <c r="C11" s="1">
        <v>1.1000000000000001</v>
      </c>
      <c r="D11" s="2" t="s">
        <v>82</v>
      </c>
      <c r="E11" s="1">
        <f t="shared" si="0"/>
        <v>2.75</v>
      </c>
    </row>
    <row r="12" spans="1:6" x14ac:dyDescent="0.25">
      <c r="A12" s="1" t="s">
        <v>12</v>
      </c>
      <c r="B12" s="1">
        <v>500</v>
      </c>
      <c r="C12" s="1">
        <v>1.17</v>
      </c>
      <c r="D12" s="2" t="s">
        <v>82</v>
      </c>
      <c r="E12" s="1">
        <f t="shared" si="0"/>
        <v>5.85</v>
      </c>
    </row>
    <row r="13" spans="1:6" x14ac:dyDescent="0.25">
      <c r="A13" s="1" t="s">
        <v>13</v>
      </c>
      <c r="B13" s="1">
        <v>800</v>
      </c>
      <c r="C13" s="1">
        <v>1.23</v>
      </c>
      <c r="D13" s="2" t="s">
        <v>82</v>
      </c>
      <c r="E13" s="1">
        <f t="shared" si="0"/>
        <v>9.84</v>
      </c>
    </row>
    <row r="14" spans="1:6" x14ac:dyDescent="0.25">
      <c r="A14" s="1" t="s">
        <v>14</v>
      </c>
      <c r="B14" s="1">
        <v>500</v>
      </c>
      <c r="C14" s="1">
        <v>2.3199999999999998</v>
      </c>
      <c r="D14" s="2" t="s">
        <v>82</v>
      </c>
      <c r="E14" s="1">
        <f t="shared" si="0"/>
        <v>11.6</v>
      </c>
    </row>
    <row r="15" spans="1:6" x14ac:dyDescent="0.25">
      <c r="A15" s="1" t="s">
        <v>15</v>
      </c>
      <c r="B15" s="1">
        <v>350</v>
      </c>
      <c r="C15" s="1">
        <v>1.69</v>
      </c>
      <c r="D15" s="2" t="s">
        <v>82</v>
      </c>
      <c r="E15" s="1">
        <f t="shared" si="0"/>
        <v>5.915</v>
      </c>
    </row>
    <row r="16" spans="1:6" x14ac:dyDescent="0.25">
      <c r="A16" s="1" t="s">
        <v>16</v>
      </c>
      <c r="B16" s="1">
        <v>50</v>
      </c>
      <c r="C16" s="1">
        <v>3.76</v>
      </c>
      <c r="D16" s="2" t="s">
        <v>82</v>
      </c>
      <c r="E16" s="1">
        <f t="shared" si="0"/>
        <v>1.88</v>
      </c>
    </row>
    <row r="17" spans="1:5" x14ac:dyDescent="0.25">
      <c r="A17" s="1" t="s">
        <v>17</v>
      </c>
      <c r="B17" s="1">
        <v>1000</v>
      </c>
      <c r="C17" s="1">
        <v>1.17</v>
      </c>
      <c r="D17" s="2" t="s">
        <v>82</v>
      </c>
      <c r="E17" s="1">
        <f t="shared" si="0"/>
        <v>11.7</v>
      </c>
    </row>
    <row r="18" spans="1:5" x14ac:dyDescent="0.25">
      <c r="A18" s="1" t="s">
        <v>18</v>
      </c>
      <c r="B18" s="1">
        <v>500</v>
      </c>
      <c r="C18" s="1">
        <v>1.23</v>
      </c>
      <c r="D18" s="2" t="s">
        <v>82</v>
      </c>
      <c r="E18" s="1">
        <f t="shared" si="0"/>
        <v>6.15</v>
      </c>
    </row>
    <row r="19" spans="1:5" x14ac:dyDescent="0.25">
      <c r="A19" s="1" t="s">
        <v>19</v>
      </c>
      <c r="B19" s="1">
        <v>700</v>
      </c>
      <c r="C19" s="1">
        <v>1.29</v>
      </c>
      <c r="D19" s="2" t="s">
        <v>82</v>
      </c>
      <c r="E19" s="1">
        <f t="shared" si="0"/>
        <v>9.0299999999999994</v>
      </c>
    </row>
    <row r="20" spans="1:5" x14ac:dyDescent="0.25">
      <c r="A20" s="1" t="s">
        <v>20</v>
      </c>
      <c r="B20" s="1">
        <v>250</v>
      </c>
      <c r="C20" s="1">
        <v>1.53</v>
      </c>
      <c r="D20" s="2" t="s">
        <v>82</v>
      </c>
      <c r="E20" s="1">
        <f t="shared" si="0"/>
        <v>3.8250000000000002</v>
      </c>
    </row>
    <row r="21" spans="1:5" x14ac:dyDescent="0.25">
      <c r="A21" s="1" t="s">
        <v>21</v>
      </c>
      <c r="B21" s="1">
        <v>250</v>
      </c>
      <c r="C21" s="1">
        <v>1.74</v>
      </c>
      <c r="D21" s="2" t="s">
        <v>82</v>
      </c>
      <c r="E21" s="1">
        <f t="shared" si="0"/>
        <v>4.3499999999999996</v>
      </c>
    </row>
    <row r="22" spans="1:5" x14ac:dyDescent="0.25">
      <c r="A22" s="1" t="s">
        <v>22</v>
      </c>
      <c r="B22" s="1">
        <v>350</v>
      </c>
      <c r="C22" s="1">
        <v>1.74</v>
      </c>
      <c r="D22" s="2" t="s">
        <v>82</v>
      </c>
      <c r="E22" s="1">
        <f t="shared" si="0"/>
        <v>6.09</v>
      </c>
    </row>
    <row r="23" spans="1:5" x14ac:dyDescent="0.25">
      <c r="A23" s="1" t="s">
        <v>23</v>
      </c>
      <c r="B23" s="1">
        <v>500</v>
      </c>
      <c r="C23" s="1">
        <v>2.4500000000000002</v>
      </c>
      <c r="D23" s="2" t="s">
        <v>82</v>
      </c>
      <c r="E23" s="1">
        <f t="shared" si="0"/>
        <v>12.25</v>
      </c>
    </row>
    <row r="24" spans="1:5" x14ac:dyDescent="0.25">
      <c r="A24" s="1" t="s">
        <v>24</v>
      </c>
      <c r="B24" s="1">
        <v>250</v>
      </c>
      <c r="C24" s="1">
        <v>4.66</v>
      </c>
      <c r="D24" s="2" t="s">
        <v>82</v>
      </c>
      <c r="E24" s="1">
        <f t="shared" si="0"/>
        <v>11.65</v>
      </c>
    </row>
    <row r="25" spans="1:5" x14ac:dyDescent="0.25">
      <c r="A25" s="1" t="s">
        <v>26</v>
      </c>
      <c r="B25" s="1">
        <v>100</v>
      </c>
      <c r="C25" s="1">
        <v>2.12</v>
      </c>
      <c r="D25" s="2" t="s">
        <v>82</v>
      </c>
      <c r="E25" s="1">
        <f t="shared" si="0"/>
        <v>2.12</v>
      </c>
    </row>
    <row r="26" spans="1:5" x14ac:dyDescent="0.25">
      <c r="A26" s="1" t="s">
        <v>27</v>
      </c>
      <c r="B26" s="1">
        <v>350</v>
      </c>
      <c r="C26" s="1">
        <v>2.12</v>
      </c>
      <c r="D26" s="2" t="s">
        <v>82</v>
      </c>
      <c r="E26" s="1">
        <f t="shared" si="0"/>
        <v>7.42</v>
      </c>
    </row>
    <row r="27" spans="1:5" x14ac:dyDescent="0.25">
      <c r="A27" s="1" t="s">
        <v>28</v>
      </c>
      <c r="B27" s="1">
        <v>350</v>
      </c>
      <c r="C27" s="1">
        <v>2.12</v>
      </c>
      <c r="D27" s="2" t="s">
        <v>82</v>
      </c>
      <c r="E27" s="1">
        <f t="shared" si="0"/>
        <v>7.42</v>
      </c>
    </row>
    <row r="28" spans="1:5" x14ac:dyDescent="0.25">
      <c r="A28" s="1" t="s">
        <v>29</v>
      </c>
      <c r="B28" s="1">
        <v>350</v>
      </c>
      <c r="C28" s="1">
        <v>2.19</v>
      </c>
      <c r="D28" s="2" t="s">
        <v>82</v>
      </c>
      <c r="E28" s="1">
        <f t="shared" si="0"/>
        <v>7.665</v>
      </c>
    </row>
    <row r="29" spans="1:5" x14ac:dyDescent="0.25">
      <c r="A29" s="1" t="s">
        <v>30</v>
      </c>
      <c r="B29" s="1">
        <v>350</v>
      </c>
      <c r="C29" s="1">
        <v>2.2599999999999998</v>
      </c>
      <c r="D29" s="2" t="s">
        <v>82</v>
      </c>
      <c r="E29" s="1">
        <f t="shared" si="0"/>
        <v>7.9099999999999993</v>
      </c>
    </row>
    <row r="30" spans="1:5" x14ac:dyDescent="0.25">
      <c r="A30" s="1" t="s">
        <v>31</v>
      </c>
      <c r="B30" s="1">
        <v>500</v>
      </c>
      <c r="C30" s="1">
        <v>3.03</v>
      </c>
      <c r="D30" s="2" t="s">
        <v>82</v>
      </c>
      <c r="E30" s="1">
        <f t="shared" si="0"/>
        <v>15.15</v>
      </c>
    </row>
    <row r="31" spans="1:5" x14ac:dyDescent="0.25">
      <c r="A31" s="1" t="s">
        <v>32</v>
      </c>
      <c r="B31" s="1">
        <v>50</v>
      </c>
      <c r="C31" s="1">
        <v>3.15</v>
      </c>
      <c r="D31" s="2" t="s">
        <v>82</v>
      </c>
      <c r="E31" s="1">
        <f t="shared" si="0"/>
        <v>1.575</v>
      </c>
    </row>
    <row r="32" spans="1:5" x14ac:dyDescent="0.25">
      <c r="A32" s="1" t="s">
        <v>33</v>
      </c>
      <c r="B32" s="1">
        <v>250</v>
      </c>
      <c r="C32" s="1">
        <v>3.7240000000000002</v>
      </c>
      <c r="D32" s="2" t="s">
        <v>82</v>
      </c>
      <c r="E32" s="1">
        <f t="shared" si="0"/>
        <v>9.31</v>
      </c>
    </row>
    <row r="33" spans="1:5" x14ac:dyDescent="0.25">
      <c r="A33" s="1" t="s">
        <v>34</v>
      </c>
      <c r="B33" s="1">
        <v>50</v>
      </c>
      <c r="C33" s="1">
        <v>3.92</v>
      </c>
      <c r="D33" s="2" t="s">
        <v>82</v>
      </c>
      <c r="E33" s="1">
        <f t="shared" si="0"/>
        <v>1.96</v>
      </c>
    </row>
    <row r="34" spans="1:5" x14ac:dyDescent="0.25">
      <c r="A34" s="1" t="s">
        <v>35</v>
      </c>
      <c r="B34" s="1">
        <v>40</v>
      </c>
      <c r="C34" s="1">
        <v>5.45</v>
      </c>
      <c r="D34" s="2" t="s">
        <v>82</v>
      </c>
      <c r="E34" s="1">
        <f t="shared" si="0"/>
        <v>2.1800000000000002</v>
      </c>
    </row>
    <row r="35" spans="1:5" x14ac:dyDescent="0.25">
      <c r="A35" s="1" t="s">
        <v>36</v>
      </c>
      <c r="B35" s="1">
        <v>50</v>
      </c>
      <c r="C35" s="1">
        <v>10.44</v>
      </c>
      <c r="D35" s="2" t="s">
        <v>82</v>
      </c>
      <c r="E35" s="1">
        <f t="shared" si="0"/>
        <v>5.22</v>
      </c>
    </row>
    <row r="36" spans="1:5" x14ac:dyDescent="0.25">
      <c r="A36" s="1" t="s">
        <v>37</v>
      </c>
      <c r="B36" s="1">
        <v>100</v>
      </c>
      <c r="C36" s="1">
        <v>8.41</v>
      </c>
      <c r="D36" s="2" t="s">
        <v>82</v>
      </c>
      <c r="E36" s="1">
        <f t="shared" si="0"/>
        <v>8.41</v>
      </c>
    </row>
    <row r="37" spans="1:5" x14ac:dyDescent="0.25">
      <c r="A37" s="1" t="s">
        <v>38</v>
      </c>
      <c r="B37" s="1">
        <v>500</v>
      </c>
      <c r="C37" s="1">
        <v>11.94</v>
      </c>
      <c r="D37" s="2" t="s">
        <v>82</v>
      </c>
      <c r="E37" s="1">
        <f t="shared" si="0"/>
        <v>59.7</v>
      </c>
    </row>
    <row r="38" spans="1:5" x14ac:dyDescent="0.25">
      <c r="A38" s="1" t="s">
        <v>39</v>
      </c>
      <c r="B38" s="1">
        <v>100</v>
      </c>
      <c r="C38" s="1">
        <v>0.11874999999999999</v>
      </c>
      <c r="D38" s="2" t="s">
        <v>82</v>
      </c>
      <c r="E38" s="1">
        <f>B38*C38</f>
        <v>11.875</v>
      </c>
    </row>
    <row r="39" spans="1:5" x14ac:dyDescent="0.25">
      <c r="A39" s="1" t="s">
        <v>44</v>
      </c>
      <c r="B39" s="1">
        <v>10</v>
      </c>
      <c r="C39" s="1">
        <v>35.24</v>
      </c>
      <c r="D39" s="2" t="s">
        <v>82</v>
      </c>
      <c r="E39" s="1">
        <f>B39*C39/100</f>
        <v>3.5240000000000005</v>
      </c>
    </row>
    <row r="40" spans="1:5" x14ac:dyDescent="0.25">
      <c r="A40" s="1" t="s">
        <v>74</v>
      </c>
      <c r="B40" s="1">
        <v>495</v>
      </c>
      <c r="C40" s="1">
        <v>0.99</v>
      </c>
      <c r="D40" s="2" t="s">
        <v>82</v>
      </c>
      <c r="E40" s="1">
        <f>B40*C40/100</f>
        <v>4.9005000000000001</v>
      </c>
    </row>
    <row r="41" spans="1:5" x14ac:dyDescent="0.25">
      <c r="A41" s="1" t="s">
        <v>47</v>
      </c>
      <c r="B41" s="1">
        <v>500</v>
      </c>
      <c r="C41" s="1">
        <v>2.1</v>
      </c>
      <c r="D41" s="2" t="s">
        <v>82</v>
      </c>
      <c r="E41" s="1">
        <f>B41*C41/100</f>
        <v>10.5</v>
      </c>
    </row>
    <row r="42" spans="1:5" x14ac:dyDescent="0.25">
      <c r="A42" s="1" t="s">
        <v>45</v>
      </c>
      <c r="B42" s="1">
        <v>470</v>
      </c>
      <c r="C42" s="1">
        <v>4.7300000000000004</v>
      </c>
      <c r="D42" s="2" t="s">
        <v>82</v>
      </c>
      <c r="E42" s="1">
        <f>B42*C42/100</f>
        <v>22.231000000000005</v>
      </c>
    </row>
    <row r="43" spans="1:5" x14ac:dyDescent="0.25">
      <c r="A43" s="1" t="s">
        <v>40</v>
      </c>
      <c r="B43" s="1">
        <v>5</v>
      </c>
      <c r="C43" s="1">
        <v>5.056</v>
      </c>
      <c r="D43" s="2" t="s">
        <v>83</v>
      </c>
      <c r="E43" s="1">
        <v>25.28</v>
      </c>
    </row>
    <row r="44" spans="1:5" x14ac:dyDescent="0.25">
      <c r="A44" s="1" t="s">
        <v>41</v>
      </c>
      <c r="B44" s="1">
        <v>1</v>
      </c>
      <c r="C44" s="1">
        <v>1.6739999999999999</v>
      </c>
      <c r="D44" s="2" t="s">
        <v>83</v>
      </c>
      <c r="E44" s="1">
        <v>1.6739999999999999</v>
      </c>
    </row>
    <row r="45" spans="1:5" x14ac:dyDescent="0.25">
      <c r="A45" s="1" t="s">
        <v>77</v>
      </c>
      <c r="B45" s="1">
        <v>45</v>
      </c>
      <c r="C45" s="1">
        <v>0.17100000000000001</v>
      </c>
      <c r="D45" s="2" t="s">
        <v>82</v>
      </c>
      <c r="E45" s="1">
        <f>B45*C45</f>
        <v>7.6950000000000003</v>
      </c>
    </row>
    <row r="46" spans="1:5" x14ac:dyDescent="0.25">
      <c r="A46" s="1" t="s">
        <v>78</v>
      </c>
      <c r="B46" s="1">
        <v>150</v>
      </c>
      <c r="C46" s="1">
        <v>6.4250000000000002E-2</v>
      </c>
      <c r="D46" s="2" t="s">
        <v>82</v>
      </c>
      <c r="E46" s="1">
        <f>B46*C46</f>
        <v>9.6375000000000011</v>
      </c>
    </row>
    <row r="47" spans="1:5" x14ac:dyDescent="0.25">
      <c r="A47" s="1" t="s">
        <v>42</v>
      </c>
      <c r="B47" s="1">
        <v>20</v>
      </c>
      <c r="C47" s="1">
        <v>0.30580000000000002</v>
      </c>
      <c r="D47" s="2" t="s">
        <v>82</v>
      </c>
      <c r="E47" s="1">
        <f>B47*C47</f>
        <v>6.1160000000000005</v>
      </c>
    </row>
    <row r="48" spans="1:5" x14ac:dyDescent="0.25">
      <c r="A48" s="1" t="s">
        <v>43</v>
      </c>
      <c r="B48" s="1">
        <v>15</v>
      </c>
      <c r="C48" s="1">
        <v>61.86</v>
      </c>
      <c r="D48" s="2" t="s">
        <v>82</v>
      </c>
      <c r="E48" s="1">
        <f>B48*C48/100</f>
        <v>9.2789999999999999</v>
      </c>
    </row>
    <row r="49" spans="1:5" x14ac:dyDescent="0.25">
      <c r="A49" s="1" t="s">
        <v>46</v>
      </c>
      <c r="B49" s="1">
        <v>10</v>
      </c>
      <c r="C49" s="1">
        <v>204.36</v>
      </c>
      <c r="D49" s="2" t="s">
        <v>82</v>
      </c>
      <c r="E49" s="1">
        <f>B49*C49/100</f>
        <v>20.436</v>
      </c>
    </row>
    <row r="50" spans="1:5" x14ac:dyDescent="0.25">
      <c r="A50" s="1" t="s">
        <v>51</v>
      </c>
      <c r="B50" s="1">
        <v>100</v>
      </c>
      <c r="C50" s="1">
        <v>4.0399999999999998E-2</v>
      </c>
      <c r="D50" s="2" t="s">
        <v>82</v>
      </c>
      <c r="E50" s="1">
        <f>B50*C50</f>
        <v>4.04</v>
      </c>
    </row>
    <row r="51" spans="1:5" x14ac:dyDescent="0.25">
      <c r="A51" s="1" t="s">
        <v>50</v>
      </c>
      <c r="B51" s="1">
        <v>80</v>
      </c>
      <c r="C51" s="1">
        <v>4.6900000000000004</v>
      </c>
      <c r="D51" s="2" t="s">
        <v>82</v>
      </c>
      <c r="E51" s="1">
        <f>B51*C51/100</f>
        <v>3.7520000000000007</v>
      </c>
    </row>
    <row r="52" spans="1:5" x14ac:dyDescent="0.25">
      <c r="A52" s="1" t="s">
        <v>48</v>
      </c>
      <c r="B52" s="1">
        <v>400</v>
      </c>
      <c r="C52" s="1">
        <v>0.14000000000000001</v>
      </c>
      <c r="D52" s="2" t="s">
        <v>82</v>
      </c>
      <c r="E52" s="1">
        <f>B52*C52</f>
        <v>56.000000000000007</v>
      </c>
    </row>
    <row r="53" spans="1:5" x14ac:dyDescent="0.25">
      <c r="A53" s="1" t="s">
        <v>49</v>
      </c>
      <c r="B53" s="1">
        <v>700</v>
      </c>
      <c r="C53" s="1">
        <v>3.1E-2</v>
      </c>
      <c r="D53" s="2" t="s">
        <v>82</v>
      </c>
      <c r="E53" s="1">
        <f>B53*C53</f>
        <v>21.7</v>
      </c>
    </row>
    <row r="54" spans="1:5" x14ac:dyDescent="0.25">
      <c r="A54" s="1" t="s">
        <v>52</v>
      </c>
      <c r="B54" s="1">
        <v>1900</v>
      </c>
      <c r="C54" s="1">
        <v>2.2599999999999999E-2</v>
      </c>
      <c r="D54" s="2" t="s">
        <v>82</v>
      </c>
      <c r="E54" s="1">
        <f>B54*C54</f>
        <v>42.94</v>
      </c>
    </row>
    <row r="55" spans="1:5" x14ac:dyDescent="0.25">
      <c r="A55" s="1" t="s">
        <v>53</v>
      </c>
      <c r="B55" s="1">
        <v>12.5</v>
      </c>
      <c r="C55" s="1">
        <v>1.4</v>
      </c>
      <c r="D55" s="2" t="s">
        <v>84</v>
      </c>
      <c r="E55" s="1">
        <f>B55*C55</f>
        <v>17.5</v>
      </c>
    </row>
    <row r="56" spans="1:5" x14ac:dyDescent="0.25">
      <c r="A56" s="26" t="s">
        <v>116</v>
      </c>
      <c r="B56" s="27"/>
      <c r="C56" s="27"/>
      <c r="D56" s="28"/>
      <c r="E56" s="1">
        <f>SUM(E3:E55)</f>
        <v>595.74</v>
      </c>
    </row>
    <row r="59" spans="1:5" ht="26.25" x14ac:dyDescent="0.25">
      <c r="A59" s="29" t="s">
        <v>54</v>
      </c>
      <c r="B59" s="30"/>
      <c r="C59" s="30"/>
      <c r="D59" s="30"/>
      <c r="E59" s="31"/>
    </row>
    <row r="60" spans="1:5" x14ac:dyDescent="0.25">
      <c r="A60" s="2" t="s">
        <v>0</v>
      </c>
      <c r="B60" s="2" t="s">
        <v>3</v>
      </c>
      <c r="C60" s="2" t="s">
        <v>56</v>
      </c>
      <c r="D60" s="2" t="s">
        <v>81</v>
      </c>
      <c r="E60" s="2" t="s">
        <v>1</v>
      </c>
    </row>
    <row r="61" spans="1:5" x14ac:dyDescent="0.25">
      <c r="A61" s="1" t="s">
        <v>111</v>
      </c>
      <c r="B61" s="1">
        <v>12</v>
      </c>
      <c r="C61" s="1">
        <v>2.92</v>
      </c>
      <c r="D61" s="2" t="s">
        <v>82</v>
      </c>
      <c r="E61" s="1">
        <f>B61*C61</f>
        <v>35.04</v>
      </c>
    </row>
    <row r="62" spans="1:5" x14ac:dyDescent="0.25">
      <c r="A62" s="1" t="s">
        <v>112</v>
      </c>
      <c r="B62" s="1">
        <v>9</v>
      </c>
      <c r="C62" s="1">
        <v>2.76</v>
      </c>
      <c r="D62" s="2" t="s">
        <v>82</v>
      </c>
      <c r="E62" s="1">
        <f t="shared" ref="E62:E81" si="1">B62*C62</f>
        <v>24.839999999999996</v>
      </c>
    </row>
    <row r="63" spans="1:5" x14ac:dyDescent="0.25">
      <c r="A63" s="1" t="s">
        <v>113</v>
      </c>
      <c r="B63" s="1">
        <v>4</v>
      </c>
      <c r="C63" s="1">
        <v>2.64</v>
      </c>
      <c r="D63" s="2" t="s">
        <v>82</v>
      </c>
      <c r="E63" s="1">
        <f t="shared" si="1"/>
        <v>10.56</v>
      </c>
    </row>
    <row r="64" spans="1:5" x14ac:dyDescent="0.25">
      <c r="A64" s="1" t="s">
        <v>114</v>
      </c>
      <c r="B64" s="1">
        <v>8</v>
      </c>
      <c r="C64" s="1">
        <v>2.64</v>
      </c>
      <c r="D64" s="2" t="s">
        <v>82</v>
      </c>
      <c r="E64" s="1">
        <f t="shared" si="1"/>
        <v>21.12</v>
      </c>
    </row>
    <row r="65" spans="1:5" x14ac:dyDescent="0.25">
      <c r="A65" s="1" t="s">
        <v>59</v>
      </c>
      <c r="B65" s="1">
        <v>4</v>
      </c>
      <c r="C65" s="1">
        <v>0.33</v>
      </c>
      <c r="D65" s="2" t="s">
        <v>82</v>
      </c>
      <c r="E65" s="1">
        <f t="shared" si="1"/>
        <v>1.32</v>
      </c>
    </row>
    <row r="66" spans="1:5" x14ac:dyDescent="0.25">
      <c r="A66" s="1" t="s">
        <v>60</v>
      </c>
      <c r="B66" s="1">
        <v>4</v>
      </c>
      <c r="C66" s="1">
        <v>0.32</v>
      </c>
      <c r="D66" s="2" t="s">
        <v>82</v>
      </c>
      <c r="E66" s="1">
        <f t="shared" si="1"/>
        <v>1.28</v>
      </c>
    </row>
    <row r="67" spans="1:5" x14ac:dyDescent="0.25">
      <c r="A67" s="1" t="s">
        <v>61</v>
      </c>
      <c r="B67" s="1">
        <v>2</v>
      </c>
      <c r="C67" s="1">
        <v>0.96</v>
      </c>
      <c r="D67" s="2" t="s">
        <v>82</v>
      </c>
      <c r="E67" s="1">
        <f t="shared" si="1"/>
        <v>1.92</v>
      </c>
    </row>
    <row r="68" spans="1:5" x14ac:dyDescent="0.25">
      <c r="A68" s="1" t="s">
        <v>57</v>
      </c>
      <c r="B68" s="1">
        <v>2</v>
      </c>
      <c r="C68" s="1">
        <v>4.92</v>
      </c>
      <c r="D68" s="2" t="s">
        <v>82</v>
      </c>
      <c r="E68" s="1">
        <f t="shared" si="1"/>
        <v>9.84</v>
      </c>
    </row>
    <row r="69" spans="1:5" x14ac:dyDescent="0.25">
      <c r="A69" s="1" t="s">
        <v>58</v>
      </c>
      <c r="B69" s="1">
        <v>50</v>
      </c>
      <c r="C69" s="1">
        <v>8.5400000000000004E-2</v>
      </c>
      <c r="D69" s="2" t="s">
        <v>82</v>
      </c>
      <c r="E69" s="1">
        <f t="shared" si="1"/>
        <v>4.2700000000000005</v>
      </c>
    </row>
    <row r="70" spans="1:5" x14ac:dyDescent="0.25">
      <c r="A70" s="1" t="s">
        <v>66</v>
      </c>
      <c r="B70" s="1">
        <v>6</v>
      </c>
      <c r="C70" s="1">
        <v>1.9419999999999999</v>
      </c>
      <c r="D70" s="2" t="s">
        <v>85</v>
      </c>
      <c r="E70" s="1">
        <f t="shared" si="1"/>
        <v>11.651999999999999</v>
      </c>
    </row>
    <row r="71" spans="1:5" x14ac:dyDescent="0.25">
      <c r="A71" s="1" t="s">
        <v>65</v>
      </c>
      <c r="B71" s="1">
        <v>2</v>
      </c>
      <c r="C71" s="1">
        <v>2.92</v>
      </c>
      <c r="D71" s="2" t="s">
        <v>85</v>
      </c>
      <c r="E71" s="1">
        <f t="shared" si="1"/>
        <v>5.84</v>
      </c>
    </row>
    <row r="72" spans="1:5" x14ac:dyDescent="0.25">
      <c r="A72" s="1" t="s">
        <v>67</v>
      </c>
      <c r="B72" s="1">
        <v>2</v>
      </c>
      <c r="C72" s="1">
        <v>3.72</v>
      </c>
      <c r="D72" s="2" t="s">
        <v>85</v>
      </c>
      <c r="E72" s="1">
        <f t="shared" si="1"/>
        <v>7.44</v>
      </c>
    </row>
    <row r="73" spans="1:5" x14ac:dyDescent="0.25">
      <c r="A73" s="1" t="s">
        <v>68</v>
      </c>
      <c r="B73" s="1">
        <v>2</v>
      </c>
      <c r="C73" s="1">
        <v>4.76</v>
      </c>
      <c r="D73" s="2" t="s">
        <v>86</v>
      </c>
      <c r="E73" s="1">
        <f t="shared" si="1"/>
        <v>9.52</v>
      </c>
    </row>
    <row r="74" spans="1:5" x14ac:dyDescent="0.25">
      <c r="A74" s="1" t="s">
        <v>69</v>
      </c>
      <c r="B74" s="1">
        <v>1</v>
      </c>
      <c r="C74" s="1">
        <v>9.41</v>
      </c>
      <c r="D74" s="2" t="s">
        <v>86</v>
      </c>
      <c r="E74" s="1">
        <f t="shared" si="1"/>
        <v>9.41</v>
      </c>
    </row>
    <row r="75" spans="1:5" x14ac:dyDescent="0.25">
      <c r="A75" s="1" t="s">
        <v>70</v>
      </c>
      <c r="B75" s="1">
        <v>1</v>
      </c>
      <c r="C75" s="1">
        <v>5.57</v>
      </c>
      <c r="D75" s="2" t="s">
        <v>82</v>
      </c>
      <c r="E75" s="1">
        <f t="shared" si="1"/>
        <v>5.57</v>
      </c>
    </row>
    <row r="76" spans="1:5" x14ac:dyDescent="0.25">
      <c r="A76" s="1" t="s">
        <v>71</v>
      </c>
      <c r="B76" s="1">
        <v>1</v>
      </c>
      <c r="C76" s="1">
        <v>5.57</v>
      </c>
      <c r="D76" s="2" t="s">
        <v>82</v>
      </c>
      <c r="E76" s="1">
        <f t="shared" si="1"/>
        <v>5.57</v>
      </c>
    </row>
    <row r="77" spans="1:5" x14ac:dyDescent="0.25">
      <c r="A77" s="1" t="s">
        <v>72</v>
      </c>
      <c r="B77" s="1">
        <v>1</v>
      </c>
      <c r="C77" s="1">
        <v>5.57</v>
      </c>
      <c r="D77" s="2" t="s">
        <v>82</v>
      </c>
      <c r="E77" s="1">
        <f t="shared" si="1"/>
        <v>5.57</v>
      </c>
    </row>
    <row r="78" spans="1:5" x14ac:dyDescent="0.25">
      <c r="A78" s="1" t="s">
        <v>73</v>
      </c>
      <c r="B78" s="1">
        <v>1</v>
      </c>
      <c r="C78" s="1">
        <v>5.57</v>
      </c>
      <c r="D78" s="2" t="s">
        <v>82</v>
      </c>
      <c r="E78" s="1">
        <f t="shared" si="1"/>
        <v>5.57</v>
      </c>
    </row>
    <row r="79" spans="1:5" x14ac:dyDescent="0.25">
      <c r="A79" s="1" t="s">
        <v>75</v>
      </c>
      <c r="B79" s="1">
        <v>950</v>
      </c>
      <c r="C79" s="1">
        <v>4.648E-2</v>
      </c>
      <c r="D79" s="2" t="s">
        <v>82</v>
      </c>
      <c r="E79" s="1">
        <f t="shared" si="1"/>
        <v>44.155999999999999</v>
      </c>
    </row>
    <row r="80" spans="1:5" x14ac:dyDescent="0.25">
      <c r="A80" s="1" t="s">
        <v>76</v>
      </c>
      <c r="B80" s="1">
        <v>900</v>
      </c>
      <c r="C80" s="1">
        <v>5.321E-2</v>
      </c>
      <c r="D80" s="2" t="s">
        <v>82</v>
      </c>
      <c r="E80" s="1">
        <f t="shared" si="1"/>
        <v>47.889000000000003</v>
      </c>
    </row>
    <row r="81" spans="1:5" x14ac:dyDescent="0.25">
      <c r="A81" s="1" t="s">
        <v>92</v>
      </c>
      <c r="B81" s="1">
        <v>1</v>
      </c>
      <c r="C81" s="1">
        <v>31.1</v>
      </c>
      <c r="D81" s="2" t="s">
        <v>93</v>
      </c>
      <c r="E81" s="1">
        <f t="shared" si="1"/>
        <v>31.1</v>
      </c>
    </row>
    <row r="82" spans="1:5" x14ac:dyDescent="0.25">
      <c r="A82" s="26" t="s">
        <v>116</v>
      </c>
      <c r="B82" s="27"/>
      <c r="C82" s="27"/>
      <c r="D82" s="28"/>
      <c r="E82" s="1">
        <f>SUM(E61:E81)</f>
        <v>299.47700000000003</v>
      </c>
    </row>
    <row r="85" spans="1:5" ht="26.25" x14ac:dyDescent="0.25">
      <c r="A85" s="29" t="s">
        <v>55</v>
      </c>
      <c r="B85" s="30"/>
      <c r="C85" s="30"/>
      <c r="D85" s="30"/>
      <c r="E85" s="31"/>
    </row>
    <row r="86" spans="1:5" x14ac:dyDescent="0.25">
      <c r="A86" s="2" t="s">
        <v>0</v>
      </c>
      <c r="B86" s="2" t="s">
        <v>3</v>
      </c>
      <c r="C86" s="2" t="s">
        <v>56</v>
      </c>
      <c r="D86" s="2" t="s">
        <v>81</v>
      </c>
      <c r="E86" s="2" t="s">
        <v>1</v>
      </c>
    </row>
    <row r="87" spans="1:5" x14ac:dyDescent="0.25">
      <c r="A87" s="1" t="s">
        <v>62</v>
      </c>
      <c r="B87" s="1">
        <v>4.8</v>
      </c>
      <c r="C87" s="1">
        <v>9.52</v>
      </c>
      <c r="D87" s="2" t="s">
        <v>87</v>
      </c>
      <c r="E87" s="1">
        <f t="shared" ref="E87:E94" si="2">B87*C87</f>
        <v>45.695999999999998</v>
      </c>
    </row>
    <row r="88" spans="1:5" x14ac:dyDescent="0.25">
      <c r="A88" s="1" t="s">
        <v>63</v>
      </c>
      <c r="B88" s="1">
        <v>0.5</v>
      </c>
      <c r="C88" s="1">
        <v>5.76</v>
      </c>
      <c r="D88" s="2" t="s">
        <v>87</v>
      </c>
      <c r="E88" s="1">
        <f t="shared" si="2"/>
        <v>2.88</v>
      </c>
    </row>
    <row r="89" spans="1:5" x14ac:dyDescent="0.25">
      <c r="A89" s="1" t="s">
        <v>64</v>
      </c>
      <c r="B89" s="1">
        <v>2.97</v>
      </c>
      <c r="C89" s="1">
        <v>1</v>
      </c>
      <c r="D89" s="2" t="s">
        <v>87</v>
      </c>
      <c r="E89" s="1">
        <f t="shared" si="2"/>
        <v>2.97</v>
      </c>
    </row>
    <row r="90" spans="1:5" x14ac:dyDescent="0.25">
      <c r="A90" s="1" t="s">
        <v>94</v>
      </c>
      <c r="B90" s="1">
        <v>1</v>
      </c>
      <c r="C90" s="1">
        <v>14.92</v>
      </c>
      <c r="D90" s="2" t="s">
        <v>86</v>
      </c>
      <c r="E90" s="1">
        <f t="shared" si="2"/>
        <v>14.92</v>
      </c>
    </row>
    <row r="91" spans="1:5" x14ac:dyDescent="0.25">
      <c r="A91" s="1" t="s">
        <v>95</v>
      </c>
      <c r="B91" s="1">
        <v>1</v>
      </c>
      <c r="C91" s="1">
        <v>18.84</v>
      </c>
      <c r="D91" s="2" t="s">
        <v>96</v>
      </c>
      <c r="E91" s="1">
        <f t="shared" si="2"/>
        <v>18.84</v>
      </c>
    </row>
    <row r="92" spans="1:5" x14ac:dyDescent="0.25">
      <c r="A92" s="1" t="s">
        <v>97</v>
      </c>
      <c r="B92" s="1">
        <v>1</v>
      </c>
      <c r="C92" s="1">
        <v>18.84</v>
      </c>
      <c r="D92" s="2" t="s">
        <v>96</v>
      </c>
      <c r="E92" s="1">
        <f t="shared" si="2"/>
        <v>18.84</v>
      </c>
    </row>
    <row r="93" spans="1:5" x14ac:dyDescent="0.25">
      <c r="A93" s="1" t="s">
        <v>98</v>
      </c>
      <c r="B93" s="1">
        <v>4</v>
      </c>
      <c r="C93" s="1">
        <v>15.69</v>
      </c>
      <c r="D93" s="2" t="s">
        <v>96</v>
      </c>
      <c r="E93" s="1">
        <f t="shared" si="2"/>
        <v>62.76</v>
      </c>
    </row>
    <row r="94" spans="1:5" x14ac:dyDescent="0.25">
      <c r="A94" s="1" t="s">
        <v>99</v>
      </c>
      <c r="B94" s="1">
        <v>8</v>
      </c>
      <c r="C94" s="1">
        <v>3.78</v>
      </c>
      <c r="D94" s="2" t="s">
        <v>96</v>
      </c>
      <c r="E94" s="1">
        <f t="shared" si="2"/>
        <v>30.24</v>
      </c>
    </row>
    <row r="95" spans="1:5" x14ac:dyDescent="0.25">
      <c r="A95" s="26" t="s">
        <v>116</v>
      </c>
      <c r="B95" s="27"/>
      <c r="C95" s="27"/>
      <c r="D95" s="28"/>
      <c r="E95" s="1">
        <f>SUM(E87:E94)</f>
        <v>197.14600000000002</v>
      </c>
    </row>
    <row r="98" spans="4:5" x14ac:dyDescent="0.25">
      <c r="D98" s="1" t="s">
        <v>116</v>
      </c>
      <c r="E98" s="1">
        <f>E56+E82+E95</f>
        <v>1092.3630000000001</v>
      </c>
    </row>
    <row r="127" spans="1:5" ht="26.25" x14ac:dyDescent="0.25">
      <c r="A127" s="29" t="s">
        <v>115</v>
      </c>
      <c r="B127" s="30"/>
      <c r="C127" s="30"/>
      <c r="D127" s="30"/>
      <c r="E127" s="31"/>
    </row>
    <row r="128" spans="1:5" x14ac:dyDescent="0.25">
      <c r="A128" s="2" t="s">
        <v>0</v>
      </c>
      <c r="B128" s="2" t="s">
        <v>3</v>
      </c>
      <c r="C128" s="2" t="s">
        <v>56</v>
      </c>
      <c r="D128" s="2" t="s">
        <v>81</v>
      </c>
      <c r="E128" s="2" t="s">
        <v>1</v>
      </c>
    </row>
    <row r="129" spans="1:5" x14ac:dyDescent="0.25">
      <c r="A129" s="1"/>
      <c r="B129" s="1"/>
      <c r="C129" s="2"/>
      <c r="D129" s="2"/>
      <c r="E129" s="1">
        <f>B129*C129</f>
        <v>0</v>
      </c>
    </row>
    <row r="130" spans="1:5" x14ac:dyDescent="0.25">
      <c r="A130" s="1"/>
      <c r="B130" s="1"/>
      <c r="C130" s="2"/>
      <c r="D130" s="2"/>
      <c r="E130" s="1">
        <f>B130*C130</f>
        <v>0</v>
      </c>
    </row>
    <row r="131" spans="1:5" x14ac:dyDescent="0.25">
      <c r="A131" s="1"/>
      <c r="B131" s="1"/>
      <c r="C131" s="2"/>
      <c r="D131" s="2"/>
      <c r="E131" s="1">
        <f>B131*C131</f>
        <v>0</v>
      </c>
    </row>
    <row r="132" spans="1:5" x14ac:dyDescent="0.25">
      <c r="A132" s="1"/>
      <c r="B132" s="1"/>
      <c r="C132" s="1"/>
      <c r="D132" s="1"/>
      <c r="E132" s="1">
        <f>SUM(E129:E131)</f>
        <v>0</v>
      </c>
    </row>
    <row r="133" spans="1:5" x14ac:dyDescent="0.25">
      <c r="A133" s="1"/>
      <c r="B133" s="1"/>
      <c r="C133" s="1"/>
      <c r="D133" s="1"/>
      <c r="E133" s="1">
        <f t="shared" ref="E133:E143" si="3">SUM(E130:E132)</f>
        <v>0</v>
      </c>
    </row>
    <row r="134" spans="1:5" x14ac:dyDescent="0.25">
      <c r="A134" s="1"/>
      <c r="B134" s="1"/>
      <c r="C134" s="1"/>
      <c r="D134" s="1"/>
      <c r="E134" s="1">
        <f t="shared" si="3"/>
        <v>0</v>
      </c>
    </row>
    <row r="135" spans="1:5" x14ac:dyDescent="0.25">
      <c r="A135" s="1"/>
      <c r="B135" s="1"/>
      <c r="C135" s="1"/>
      <c r="D135" s="1"/>
      <c r="E135" s="1">
        <f t="shared" si="3"/>
        <v>0</v>
      </c>
    </row>
    <row r="136" spans="1:5" x14ac:dyDescent="0.25">
      <c r="A136" s="1"/>
      <c r="B136" s="1"/>
      <c r="C136" s="1"/>
      <c r="D136" s="1"/>
      <c r="E136" s="1">
        <f t="shared" si="3"/>
        <v>0</v>
      </c>
    </row>
    <row r="137" spans="1:5" x14ac:dyDescent="0.25">
      <c r="A137" s="1"/>
      <c r="B137" s="1"/>
      <c r="C137" s="1"/>
      <c r="D137" s="1"/>
      <c r="E137" s="1">
        <f t="shared" si="3"/>
        <v>0</v>
      </c>
    </row>
    <row r="138" spans="1:5" x14ac:dyDescent="0.25">
      <c r="A138" s="1"/>
      <c r="B138" s="1"/>
      <c r="C138" s="1"/>
      <c r="D138" s="1"/>
      <c r="E138" s="1">
        <f t="shared" si="3"/>
        <v>0</v>
      </c>
    </row>
    <row r="139" spans="1:5" x14ac:dyDescent="0.25">
      <c r="A139" s="1"/>
      <c r="B139" s="1"/>
      <c r="C139" s="1"/>
      <c r="D139" s="1"/>
      <c r="E139" s="1">
        <f t="shared" si="3"/>
        <v>0</v>
      </c>
    </row>
    <row r="140" spans="1:5" x14ac:dyDescent="0.25">
      <c r="A140" s="1"/>
      <c r="B140" s="1"/>
      <c r="C140" s="1"/>
      <c r="D140" s="1"/>
      <c r="E140" s="1">
        <f t="shared" si="3"/>
        <v>0</v>
      </c>
    </row>
    <row r="141" spans="1:5" x14ac:dyDescent="0.25">
      <c r="A141" s="1"/>
      <c r="B141" s="1"/>
      <c r="C141" s="1"/>
      <c r="D141" s="1"/>
      <c r="E141" s="1">
        <f t="shared" si="3"/>
        <v>0</v>
      </c>
    </row>
    <row r="142" spans="1:5" x14ac:dyDescent="0.25">
      <c r="A142" s="1"/>
      <c r="B142" s="1"/>
      <c r="C142" s="1"/>
      <c r="D142" s="1"/>
      <c r="E142" s="1">
        <f t="shared" si="3"/>
        <v>0</v>
      </c>
    </row>
    <row r="143" spans="1:5" x14ac:dyDescent="0.25">
      <c r="A143" s="1"/>
      <c r="B143" s="1"/>
      <c r="C143" s="1"/>
      <c r="D143" s="1"/>
      <c r="E143" s="1">
        <f t="shared" si="3"/>
        <v>0</v>
      </c>
    </row>
    <row r="144" spans="1:5" x14ac:dyDescent="0.25">
      <c r="A144" s="1"/>
      <c r="B144" s="1"/>
      <c r="C144" s="1"/>
      <c r="D144" s="1"/>
      <c r="E144" s="1">
        <f>SUM(E141:E143)</f>
        <v>0</v>
      </c>
    </row>
    <row r="145" spans="1:5" x14ac:dyDescent="0.25">
      <c r="A145" s="1"/>
      <c r="B145" s="1"/>
      <c r="C145" s="1"/>
      <c r="D145" s="1"/>
      <c r="E145" s="1">
        <f t="shared" ref="E145:E150" si="4">SUM(E142:E144)</f>
        <v>0</v>
      </c>
    </row>
    <row r="146" spans="1:5" x14ac:dyDescent="0.25">
      <c r="A146" s="1"/>
      <c r="B146" s="1"/>
      <c r="C146" s="1"/>
      <c r="D146" s="1"/>
      <c r="E146" s="1">
        <f t="shared" si="4"/>
        <v>0</v>
      </c>
    </row>
    <row r="147" spans="1:5" x14ac:dyDescent="0.25">
      <c r="A147" s="1"/>
      <c r="B147" s="1"/>
      <c r="C147" s="1"/>
      <c r="D147" s="1"/>
      <c r="E147" s="1">
        <f t="shared" si="4"/>
        <v>0</v>
      </c>
    </row>
    <row r="148" spans="1:5" x14ac:dyDescent="0.25">
      <c r="A148" s="1"/>
      <c r="B148" s="1"/>
      <c r="C148" s="1"/>
      <c r="D148" s="1"/>
      <c r="E148" s="1">
        <f t="shared" si="4"/>
        <v>0</v>
      </c>
    </row>
    <row r="149" spans="1:5" x14ac:dyDescent="0.25">
      <c r="A149" s="1"/>
      <c r="B149" s="1"/>
      <c r="C149" s="1"/>
      <c r="D149" s="1"/>
      <c r="E149" s="1">
        <f t="shared" si="4"/>
        <v>0</v>
      </c>
    </row>
    <row r="150" spans="1:5" x14ac:dyDescent="0.25">
      <c r="A150" s="1"/>
      <c r="B150" s="1"/>
      <c r="C150" s="1"/>
      <c r="D150" s="1"/>
      <c r="E150" s="1">
        <f t="shared" si="4"/>
        <v>0</v>
      </c>
    </row>
    <row r="151" spans="1:5" x14ac:dyDescent="0.25">
      <c r="A151" s="26" t="s">
        <v>116</v>
      </c>
      <c r="B151" s="27"/>
      <c r="C151" s="27"/>
      <c r="D151" s="28"/>
      <c r="E151" s="1">
        <f>SUM(E129:E150)</f>
        <v>0</v>
      </c>
    </row>
  </sheetData>
  <mergeCells count="8">
    <mergeCell ref="A151:D151"/>
    <mergeCell ref="A1:E1"/>
    <mergeCell ref="A59:E59"/>
    <mergeCell ref="A85:E85"/>
    <mergeCell ref="A127:E127"/>
    <mergeCell ref="A56:D56"/>
    <mergeCell ref="A82:D82"/>
    <mergeCell ref="A95:D95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09"/>
  <sheetViews>
    <sheetView topLeftCell="A67" workbookViewId="0">
      <selection activeCell="G76" sqref="G76"/>
    </sheetView>
  </sheetViews>
  <sheetFormatPr baseColWidth="10" defaultRowHeight="15" x14ac:dyDescent="0.25"/>
  <cols>
    <col min="1" max="1" width="45.5703125" customWidth="1"/>
  </cols>
  <sheetData>
    <row r="1" spans="1:6" ht="40.5" customHeight="1" x14ac:dyDescent="0.4">
      <c r="A1" s="29" t="s">
        <v>25</v>
      </c>
      <c r="B1" s="30"/>
      <c r="C1" s="30"/>
      <c r="D1" s="30"/>
      <c r="E1" s="31"/>
      <c r="F1" s="3"/>
    </row>
    <row r="2" spans="1:6" ht="17.25" customHeight="1" x14ac:dyDescent="0.25">
      <c r="A2" s="2" t="s">
        <v>0</v>
      </c>
      <c r="B2" s="2" t="s">
        <v>3</v>
      </c>
      <c r="C2" s="2" t="s">
        <v>56</v>
      </c>
      <c r="D2" s="2" t="s">
        <v>81</v>
      </c>
      <c r="E2" s="2" t="s">
        <v>1</v>
      </c>
    </row>
    <row r="3" spans="1:6" x14ac:dyDescent="0.25">
      <c r="A3" s="1" t="s">
        <v>2</v>
      </c>
      <c r="B3" s="1">
        <v>100</v>
      </c>
      <c r="C3" s="1">
        <v>0.99</v>
      </c>
      <c r="D3" s="2" t="s">
        <v>82</v>
      </c>
      <c r="E3" s="1">
        <f t="shared" ref="E3:E37" si="0">B3*C3/100</f>
        <v>0.99</v>
      </c>
    </row>
    <row r="4" spans="1:6" x14ac:dyDescent="0.25">
      <c r="A4" s="1" t="s">
        <v>4</v>
      </c>
      <c r="B4" s="1">
        <v>200</v>
      </c>
      <c r="C4" s="1">
        <v>1.05</v>
      </c>
      <c r="D4" s="2" t="s">
        <v>82</v>
      </c>
      <c r="E4" s="1">
        <f t="shared" si="0"/>
        <v>2.1</v>
      </c>
    </row>
    <row r="5" spans="1:6" x14ac:dyDescent="0.25">
      <c r="A5" s="1" t="s">
        <v>5</v>
      </c>
      <c r="B5" s="1">
        <v>150</v>
      </c>
      <c r="C5" s="1">
        <v>1.05</v>
      </c>
      <c r="D5" s="2" t="s">
        <v>82</v>
      </c>
      <c r="E5" s="1">
        <f t="shared" si="0"/>
        <v>1.575</v>
      </c>
    </row>
    <row r="6" spans="1:6" x14ac:dyDescent="0.25">
      <c r="A6" s="1" t="s">
        <v>6</v>
      </c>
      <c r="B6" s="1">
        <v>50</v>
      </c>
      <c r="C6" s="1">
        <v>1.17</v>
      </c>
      <c r="D6" s="2" t="s">
        <v>82</v>
      </c>
      <c r="E6" s="1">
        <f t="shared" si="0"/>
        <v>0.58499999999999996</v>
      </c>
    </row>
    <row r="7" spans="1:6" x14ac:dyDescent="0.25">
      <c r="A7" s="1" t="s">
        <v>7</v>
      </c>
      <c r="B7" s="1">
        <v>150</v>
      </c>
      <c r="C7" s="1">
        <v>1.23</v>
      </c>
      <c r="D7" s="2" t="s">
        <v>82</v>
      </c>
      <c r="E7" s="1">
        <f t="shared" si="0"/>
        <v>1.845</v>
      </c>
    </row>
    <row r="8" spans="1:6" x14ac:dyDescent="0.25">
      <c r="A8" s="1" t="s">
        <v>8</v>
      </c>
      <c r="B8" s="1">
        <v>200</v>
      </c>
      <c r="C8" s="1">
        <v>1.35</v>
      </c>
      <c r="D8" s="2" t="s">
        <v>82</v>
      </c>
      <c r="E8" s="1">
        <f t="shared" si="0"/>
        <v>2.7</v>
      </c>
    </row>
    <row r="9" spans="1:6" x14ac:dyDescent="0.25">
      <c r="A9" s="1" t="s">
        <v>9</v>
      </c>
      <c r="B9" s="1">
        <v>100</v>
      </c>
      <c r="C9" s="1">
        <v>1.81</v>
      </c>
      <c r="D9" s="2" t="s">
        <v>82</v>
      </c>
      <c r="E9" s="1">
        <f t="shared" si="0"/>
        <v>1.81</v>
      </c>
    </row>
    <row r="10" spans="1:6" x14ac:dyDescent="0.25">
      <c r="A10" s="1" t="s">
        <v>10</v>
      </c>
      <c r="B10" s="1">
        <v>50</v>
      </c>
      <c r="C10" s="1">
        <v>1.05</v>
      </c>
      <c r="D10" s="2" t="s">
        <v>82</v>
      </c>
      <c r="E10" s="1">
        <f t="shared" si="0"/>
        <v>0.52500000000000002</v>
      </c>
    </row>
    <row r="11" spans="1:6" x14ac:dyDescent="0.25">
      <c r="A11" s="1" t="s">
        <v>11</v>
      </c>
      <c r="B11" s="1">
        <v>150</v>
      </c>
      <c r="C11" s="1">
        <v>1.1000000000000001</v>
      </c>
      <c r="D11" s="2" t="s">
        <v>82</v>
      </c>
      <c r="E11" s="1">
        <f t="shared" si="0"/>
        <v>1.65</v>
      </c>
    </row>
    <row r="12" spans="1:6" x14ac:dyDescent="0.25">
      <c r="A12" s="1" t="s">
        <v>12</v>
      </c>
      <c r="B12" s="1">
        <v>100</v>
      </c>
      <c r="C12" s="1">
        <v>1.17</v>
      </c>
      <c r="D12" s="2" t="s">
        <v>82</v>
      </c>
      <c r="E12" s="1">
        <f t="shared" si="0"/>
        <v>1.17</v>
      </c>
    </row>
    <row r="13" spans="1:6" x14ac:dyDescent="0.25">
      <c r="A13" s="1" t="s">
        <v>13</v>
      </c>
      <c r="B13" s="1">
        <v>150</v>
      </c>
      <c r="C13" s="1">
        <v>1.23</v>
      </c>
      <c r="D13" s="2" t="s">
        <v>82</v>
      </c>
      <c r="E13" s="1">
        <f t="shared" si="0"/>
        <v>1.845</v>
      </c>
    </row>
    <row r="14" spans="1:6" x14ac:dyDescent="0.25">
      <c r="A14" s="1" t="s">
        <v>14</v>
      </c>
      <c r="B14" s="1">
        <v>200</v>
      </c>
      <c r="C14" s="1">
        <v>2.3199999999999998</v>
      </c>
      <c r="D14" s="2" t="s">
        <v>82</v>
      </c>
      <c r="E14" s="1">
        <f t="shared" si="0"/>
        <v>4.6399999999999997</v>
      </c>
    </row>
    <row r="15" spans="1:6" x14ac:dyDescent="0.25">
      <c r="A15" s="1" t="s">
        <v>15</v>
      </c>
      <c r="B15" s="1">
        <v>100</v>
      </c>
      <c r="C15" s="1">
        <v>1.69</v>
      </c>
      <c r="D15" s="2" t="s">
        <v>82</v>
      </c>
      <c r="E15" s="1">
        <f t="shared" si="0"/>
        <v>1.69</v>
      </c>
    </row>
    <row r="16" spans="1:6" x14ac:dyDescent="0.25">
      <c r="A16" s="1" t="s">
        <v>16</v>
      </c>
      <c r="B16" s="1">
        <v>150</v>
      </c>
      <c r="C16" s="1">
        <v>3.76</v>
      </c>
      <c r="D16" s="2" t="s">
        <v>82</v>
      </c>
      <c r="E16" s="1">
        <f t="shared" si="0"/>
        <v>5.64</v>
      </c>
    </row>
    <row r="17" spans="1:5" x14ac:dyDescent="0.25">
      <c r="A17" s="1" t="s">
        <v>17</v>
      </c>
      <c r="B17" s="1">
        <v>150</v>
      </c>
      <c r="C17" s="1">
        <v>1.17</v>
      </c>
      <c r="D17" s="2" t="s">
        <v>82</v>
      </c>
      <c r="E17" s="1">
        <f t="shared" si="0"/>
        <v>1.7549999999999999</v>
      </c>
    </row>
    <row r="18" spans="1:5" x14ac:dyDescent="0.25">
      <c r="A18" s="1" t="s">
        <v>18</v>
      </c>
      <c r="B18" s="1">
        <v>150</v>
      </c>
      <c r="C18" s="1">
        <v>1.23</v>
      </c>
      <c r="D18" s="2" t="s">
        <v>82</v>
      </c>
      <c r="E18" s="1">
        <f t="shared" si="0"/>
        <v>1.845</v>
      </c>
    </row>
    <row r="19" spans="1:5" x14ac:dyDescent="0.25">
      <c r="A19" s="1" t="s">
        <v>19</v>
      </c>
      <c r="B19" s="1">
        <v>200</v>
      </c>
      <c r="C19" s="1">
        <v>1.29</v>
      </c>
      <c r="D19" s="2" t="s">
        <v>82</v>
      </c>
      <c r="E19" s="1">
        <f t="shared" si="0"/>
        <v>2.58</v>
      </c>
    </row>
    <row r="20" spans="1:5" x14ac:dyDescent="0.25">
      <c r="A20" s="1" t="s">
        <v>20</v>
      </c>
      <c r="B20" s="1">
        <v>150</v>
      </c>
      <c r="C20" s="1">
        <v>1.53</v>
      </c>
      <c r="D20" s="2" t="s">
        <v>82</v>
      </c>
      <c r="E20" s="1">
        <f t="shared" si="0"/>
        <v>2.2949999999999999</v>
      </c>
    </row>
    <row r="21" spans="1:5" x14ac:dyDescent="0.25">
      <c r="A21" s="1" t="s">
        <v>21</v>
      </c>
      <c r="B21" s="1">
        <v>250</v>
      </c>
      <c r="C21" s="1">
        <v>1.74</v>
      </c>
      <c r="D21" s="2" t="s">
        <v>82</v>
      </c>
      <c r="E21" s="1">
        <f t="shared" si="0"/>
        <v>4.3499999999999996</v>
      </c>
    </row>
    <row r="22" spans="1:5" x14ac:dyDescent="0.25">
      <c r="A22" s="1" t="s">
        <v>22</v>
      </c>
      <c r="B22" s="1">
        <v>0</v>
      </c>
      <c r="C22" s="1">
        <v>1.74</v>
      </c>
      <c r="D22" s="2" t="s">
        <v>82</v>
      </c>
      <c r="E22" s="1">
        <f t="shared" si="0"/>
        <v>0</v>
      </c>
    </row>
    <row r="23" spans="1:5" x14ac:dyDescent="0.25">
      <c r="A23" s="1" t="s">
        <v>23</v>
      </c>
      <c r="B23" s="1">
        <v>150</v>
      </c>
      <c r="C23" s="1">
        <v>2.4500000000000002</v>
      </c>
      <c r="D23" s="2" t="s">
        <v>82</v>
      </c>
      <c r="E23" s="1">
        <f t="shared" si="0"/>
        <v>3.6749999999999998</v>
      </c>
    </row>
    <row r="24" spans="1:5" x14ac:dyDescent="0.25">
      <c r="A24" s="1" t="s">
        <v>24</v>
      </c>
      <c r="B24" s="1">
        <v>0</v>
      </c>
      <c r="C24" s="1">
        <v>4.66</v>
      </c>
      <c r="D24" s="2" t="s">
        <v>82</v>
      </c>
      <c r="E24" s="1">
        <f t="shared" si="0"/>
        <v>0</v>
      </c>
    </row>
    <row r="25" spans="1:5" x14ac:dyDescent="0.25">
      <c r="A25" s="1" t="s">
        <v>26</v>
      </c>
      <c r="B25" s="1">
        <v>100</v>
      </c>
      <c r="C25" s="1">
        <v>2.12</v>
      </c>
      <c r="D25" s="2" t="s">
        <v>82</v>
      </c>
      <c r="E25" s="1">
        <f t="shared" si="0"/>
        <v>2.12</v>
      </c>
    </row>
    <row r="26" spans="1:5" x14ac:dyDescent="0.25">
      <c r="A26" s="1" t="s">
        <v>27</v>
      </c>
      <c r="B26" s="1">
        <v>250</v>
      </c>
      <c r="C26" s="1">
        <v>2.12</v>
      </c>
      <c r="D26" s="2" t="s">
        <v>82</v>
      </c>
      <c r="E26" s="1">
        <f t="shared" si="0"/>
        <v>5.3</v>
      </c>
    </row>
    <row r="27" spans="1:5" x14ac:dyDescent="0.25">
      <c r="A27" s="1" t="s">
        <v>28</v>
      </c>
      <c r="B27" s="1">
        <v>150</v>
      </c>
      <c r="C27" s="1">
        <v>2.12</v>
      </c>
      <c r="D27" s="2" t="s">
        <v>82</v>
      </c>
      <c r="E27" s="1">
        <f t="shared" si="0"/>
        <v>3.18</v>
      </c>
    </row>
    <row r="28" spans="1:5" x14ac:dyDescent="0.25">
      <c r="A28" s="1" t="s">
        <v>29</v>
      </c>
      <c r="B28" s="1">
        <v>250</v>
      </c>
      <c r="C28" s="1">
        <v>2.19</v>
      </c>
      <c r="D28" s="2" t="s">
        <v>82</v>
      </c>
      <c r="E28" s="1">
        <f t="shared" si="0"/>
        <v>5.4749999999999996</v>
      </c>
    </row>
    <row r="29" spans="1:5" x14ac:dyDescent="0.25">
      <c r="A29" s="1" t="s">
        <v>30</v>
      </c>
      <c r="B29" s="1">
        <v>100</v>
      </c>
      <c r="C29" s="1">
        <v>2.2599999999999998</v>
      </c>
      <c r="D29" s="2" t="s">
        <v>82</v>
      </c>
      <c r="E29" s="1">
        <f t="shared" si="0"/>
        <v>2.2599999999999998</v>
      </c>
    </row>
    <row r="30" spans="1:5" x14ac:dyDescent="0.25">
      <c r="A30" s="1" t="s">
        <v>31</v>
      </c>
      <c r="B30" s="1">
        <v>250</v>
      </c>
      <c r="C30" s="1">
        <v>3.03</v>
      </c>
      <c r="D30" s="2" t="s">
        <v>82</v>
      </c>
      <c r="E30" s="1">
        <f t="shared" si="0"/>
        <v>7.5750000000000002</v>
      </c>
    </row>
    <row r="31" spans="1:5" x14ac:dyDescent="0.25">
      <c r="A31" s="1" t="s">
        <v>32</v>
      </c>
      <c r="B31" s="1">
        <v>0</v>
      </c>
      <c r="C31" s="1">
        <v>3.15</v>
      </c>
      <c r="D31" s="2" t="s">
        <v>82</v>
      </c>
      <c r="E31" s="1">
        <f t="shared" si="0"/>
        <v>0</v>
      </c>
    </row>
    <row r="32" spans="1:5" x14ac:dyDescent="0.25">
      <c r="A32" s="1" t="s">
        <v>33</v>
      </c>
      <c r="B32" s="1">
        <v>150</v>
      </c>
      <c r="C32" s="1">
        <v>3.7240000000000002</v>
      </c>
      <c r="D32" s="2" t="s">
        <v>82</v>
      </c>
      <c r="E32" s="1">
        <f t="shared" si="0"/>
        <v>5.5860000000000003</v>
      </c>
    </row>
    <row r="33" spans="1:5" x14ac:dyDescent="0.25">
      <c r="A33" s="1" t="s">
        <v>34</v>
      </c>
      <c r="B33" s="1">
        <v>200</v>
      </c>
      <c r="C33" s="1">
        <v>3.92</v>
      </c>
      <c r="D33" s="2" t="s">
        <v>82</v>
      </c>
      <c r="E33" s="1">
        <f t="shared" si="0"/>
        <v>7.84</v>
      </c>
    </row>
    <row r="34" spans="1:5" x14ac:dyDescent="0.25">
      <c r="A34" s="1" t="s">
        <v>35</v>
      </c>
      <c r="B34" s="1">
        <v>150</v>
      </c>
      <c r="C34" s="1">
        <v>5.45</v>
      </c>
      <c r="D34" s="2" t="s">
        <v>82</v>
      </c>
      <c r="E34" s="1">
        <f t="shared" si="0"/>
        <v>8.1750000000000007</v>
      </c>
    </row>
    <row r="35" spans="1:5" x14ac:dyDescent="0.25">
      <c r="A35" s="1" t="s">
        <v>36</v>
      </c>
      <c r="B35" s="1">
        <v>200</v>
      </c>
      <c r="C35" s="1">
        <v>10.44</v>
      </c>
      <c r="D35" s="2" t="s">
        <v>82</v>
      </c>
      <c r="E35" s="1">
        <f t="shared" si="0"/>
        <v>20.88</v>
      </c>
    </row>
    <row r="36" spans="1:5" x14ac:dyDescent="0.25">
      <c r="A36" s="1" t="s">
        <v>37</v>
      </c>
      <c r="B36" s="1">
        <v>100</v>
      </c>
      <c r="C36" s="1">
        <v>8.41</v>
      </c>
      <c r="D36" s="2" t="s">
        <v>82</v>
      </c>
      <c r="E36" s="1">
        <f t="shared" si="0"/>
        <v>8.41</v>
      </c>
    </row>
    <row r="37" spans="1:5" x14ac:dyDescent="0.25">
      <c r="A37" s="1" t="s">
        <v>38</v>
      </c>
      <c r="B37" s="1">
        <v>100</v>
      </c>
      <c r="C37" s="1">
        <v>11.94</v>
      </c>
      <c r="D37" s="2" t="s">
        <v>82</v>
      </c>
      <c r="E37" s="1">
        <f t="shared" si="0"/>
        <v>11.94</v>
      </c>
    </row>
    <row r="38" spans="1:5" x14ac:dyDescent="0.25">
      <c r="A38" s="1" t="s">
        <v>39</v>
      </c>
      <c r="B38" s="1">
        <v>50</v>
      </c>
      <c r="C38" s="1">
        <v>0.11874999999999999</v>
      </c>
      <c r="D38" s="2" t="s">
        <v>82</v>
      </c>
      <c r="E38" s="1">
        <f>B38*C38</f>
        <v>5.9375</v>
      </c>
    </row>
    <row r="39" spans="1:5" x14ac:dyDescent="0.25">
      <c r="A39" s="1" t="s">
        <v>44</v>
      </c>
      <c r="B39" s="1">
        <v>0</v>
      </c>
      <c r="C39" s="1">
        <v>35.24</v>
      </c>
      <c r="D39" s="2" t="s">
        <v>82</v>
      </c>
      <c r="E39" s="1">
        <f>B39*C39/100</f>
        <v>0</v>
      </c>
    </row>
    <row r="40" spans="1:5" x14ac:dyDescent="0.25">
      <c r="A40" s="1" t="s">
        <v>74</v>
      </c>
      <c r="B40" s="1">
        <v>100</v>
      </c>
      <c r="C40" s="1">
        <v>0.99</v>
      </c>
      <c r="D40" s="2" t="s">
        <v>82</v>
      </c>
      <c r="E40" s="1">
        <f>B40*C40/100</f>
        <v>0.99</v>
      </c>
    </row>
    <row r="41" spans="1:5" x14ac:dyDescent="0.25">
      <c r="A41" s="1" t="s">
        <v>47</v>
      </c>
      <c r="B41" s="1">
        <v>100</v>
      </c>
      <c r="C41" s="1">
        <v>2.1</v>
      </c>
      <c r="D41" s="2" t="s">
        <v>82</v>
      </c>
      <c r="E41" s="1">
        <f>B41*C41/100</f>
        <v>2.1</v>
      </c>
    </row>
    <row r="42" spans="1:5" x14ac:dyDescent="0.25">
      <c r="A42" s="1" t="s">
        <v>45</v>
      </c>
      <c r="B42" s="1">
        <v>100</v>
      </c>
      <c r="C42" s="1">
        <v>4.7300000000000004</v>
      </c>
      <c r="D42" s="2" t="s">
        <v>82</v>
      </c>
      <c r="E42" s="1">
        <f>B42*C42/100</f>
        <v>4.7300000000000004</v>
      </c>
    </row>
    <row r="43" spans="1:5" x14ac:dyDescent="0.25">
      <c r="A43" s="1" t="s">
        <v>40</v>
      </c>
      <c r="B43" s="1">
        <v>5</v>
      </c>
      <c r="C43" s="1">
        <v>5.056</v>
      </c>
      <c r="D43" s="2" t="s">
        <v>83</v>
      </c>
      <c r="E43" s="1">
        <v>25.28</v>
      </c>
    </row>
    <row r="44" spans="1:5" x14ac:dyDescent="0.25">
      <c r="A44" s="1" t="s">
        <v>41</v>
      </c>
      <c r="B44" s="1">
        <v>1</v>
      </c>
      <c r="C44" s="1">
        <v>1.6739999999999999</v>
      </c>
      <c r="D44" s="2" t="s">
        <v>83</v>
      </c>
      <c r="E44" s="1">
        <v>1.6739999999999999</v>
      </c>
    </row>
    <row r="45" spans="1:5" x14ac:dyDescent="0.25">
      <c r="A45" s="1" t="s">
        <v>77</v>
      </c>
      <c r="B45" s="1">
        <v>10</v>
      </c>
      <c r="C45" s="1">
        <v>0.17100000000000001</v>
      </c>
      <c r="D45" s="2" t="s">
        <v>82</v>
      </c>
      <c r="E45" s="1">
        <f>B45*C45</f>
        <v>1.7100000000000002</v>
      </c>
    </row>
    <row r="46" spans="1:5" x14ac:dyDescent="0.25">
      <c r="A46" s="1" t="s">
        <v>78</v>
      </c>
      <c r="B46" s="1">
        <v>50</v>
      </c>
      <c r="C46" s="1">
        <v>6.4250000000000002E-2</v>
      </c>
      <c r="D46" s="2" t="s">
        <v>82</v>
      </c>
      <c r="E46" s="1">
        <f>B46*C46</f>
        <v>3.2124999999999999</v>
      </c>
    </row>
    <row r="47" spans="1:5" x14ac:dyDescent="0.25">
      <c r="A47" s="1" t="s">
        <v>42</v>
      </c>
      <c r="B47" s="1">
        <v>20</v>
      </c>
      <c r="C47" s="1">
        <v>0.30580000000000002</v>
      </c>
      <c r="D47" s="2" t="s">
        <v>82</v>
      </c>
      <c r="E47" s="1">
        <f>B47*C47</f>
        <v>6.1160000000000005</v>
      </c>
    </row>
    <row r="48" spans="1:5" x14ac:dyDescent="0.25">
      <c r="A48" s="1" t="s">
        <v>43</v>
      </c>
      <c r="B48" s="1">
        <v>15</v>
      </c>
      <c r="C48" s="1">
        <v>61.86</v>
      </c>
      <c r="D48" s="2" t="s">
        <v>82</v>
      </c>
      <c r="E48" s="1">
        <f>B48*C48/100</f>
        <v>9.2789999999999999</v>
      </c>
    </row>
    <row r="49" spans="1:5" x14ac:dyDescent="0.25">
      <c r="A49" s="1" t="s">
        <v>46</v>
      </c>
      <c r="B49" s="1">
        <v>0</v>
      </c>
      <c r="C49" s="1">
        <v>204.36</v>
      </c>
      <c r="D49" s="2" t="s">
        <v>82</v>
      </c>
      <c r="E49" s="1">
        <f>B49*C49/100</f>
        <v>0</v>
      </c>
    </row>
    <row r="50" spans="1:5" x14ac:dyDescent="0.25">
      <c r="A50" s="1" t="s">
        <v>51</v>
      </c>
      <c r="B50" s="1">
        <v>100</v>
      </c>
      <c r="C50" s="1">
        <v>4.0399999999999998E-2</v>
      </c>
      <c r="D50" s="2" t="s">
        <v>82</v>
      </c>
      <c r="E50" s="1">
        <f>B50*C50</f>
        <v>4.04</v>
      </c>
    </row>
    <row r="51" spans="1:5" x14ac:dyDescent="0.25">
      <c r="A51" s="1" t="s">
        <v>50</v>
      </c>
      <c r="B51" s="1">
        <v>80</v>
      </c>
      <c r="C51" s="1">
        <v>4.6900000000000004</v>
      </c>
      <c r="D51" s="2" t="s">
        <v>82</v>
      </c>
      <c r="E51" s="1">
        <f>B51*C51/100</f>
        <v>3.7520000000000007</v>
      </c>
    </row>
    <row r="52" spans="1:5" x14ac:dyDescent="0.25">
      <c r="A52" s="1" t="s">
        <v>48</v>
      </c>
      <c r="B52" s="1">
        <v>100</v>
      </c>
      <c r="C52" s="1">
        <v>0.14000000000000001</v>
      </c>
      <c r="D52" s="2" t="s">
        <v>82</v>
      </c>
      <c r="E52" s="1">
        <f>B52*C52</f>
        <v>14.000000000000002</v>
      </c>
    </row>
    <row r="53" spans="1:5" x14ac:dyDescent="0.25">
      <c r="A53" s="1" t="s">
        <v>49</v>
      </c>
      <c r="B53" s="1">
        <v>150</v>
      </c>
      <c r="C53" s="1">
        <v>3.1E-2</v>
      </c>
      <c r="D53" s="2" t="s">
        <v>82</v>
      </c>
      <c r="E53" s="1">
        <f>B53*C53</f>
        <v>4.6500000000000004</v>
      </c>
    </row>
    <row r="54" spans="1:5" x14ac:dyDescent="0.25">
      <c r="A54" s="1" t="s">
        <v>52</v>
      </c>
      <c r="B54" s="1">
        <v>100</v>
      </c>
      <c r="C54" s="1">
        <v>2.2599999999999999E-2</v>
      </c>
      <c r="D54" s="2" t="s">
        <v>82</v>
      </c>
      <c r="E54" s="1">
        <f>B54*C54</f>
        <v>2.2599999999999998</v>
      </c>
    </row>
    <row r="55" spans="1:5" x14ac:dyDescent="0.25">
      <c r="A55" s="1" t="s">
        <v>53</v>
      </c>
      <c r="B55" s="1">
        <v>9</v>
      </c>
      <c r="C55" s="1">
        <v>1.4</v>
      </c>
      <c r="D55" s="2" t="s">
        <v>84</v>
      </c>
      <c r="E55" s="1">
        <f>B55*C55</f>
        <v>12.6</v>
      </c>
    </row>
    <row r="56" spans="1:5" x14ac:dyDescent="0.25">
      <c r="A56" s="1"/>
      <c r="B56" s="1"/>
      <c r="C56" s="1"/>
      <c r="D56" s="1"/>
      <c r="E56" s="1">
        <f>SUM(E3:E55)</f>
        <v>236.33700000000002</v>
      </c>
    </row>
    <row r="59" spans="1:5" ht="26.25" x14ac:dyDescent="0.25">
      <c r="A59" s="29" t="s">
        <v>54</v>
      </c>
      <c r="B59" s="30"/>
      <c r="C59" s="30"/>
      <c r="D59" s="30"/>
      <c r="E59" s="31"/>
    </row>
    <row r="60" spans="1:5" x14ac:dyDescent="0.25">
      <c r="A60" s="2" t="s">
        <v>0</v>
      </c>
      <c r="B60" s="2" t="s">
        <v>3</v>
      </c>
      <c r="C60" s="2" t="s">
        <v>56</v>
      </c>
      <c r="D60" s="2" t="s">
        <v>81</v>
      </c>
      <c r="E60" s="2" t="s">
        <v>1</v>
      </c>
    </row>
    <row r="61" spans="1:5" x14ac:dyDescent="0.25">
      <c r="A61" s="1" t="s">
        <v>102</v>
      </c>
      <c r="B61" s="1">
        <v>2</v>
      </c>
      <c r="C61" s="1">
        <v>2.92</v>
      </c>
      <c r="D61" s="2" t="s">
        <v>82</v>
      </c>
      <c r="E61" s="1">
        <f>B61*C61</f>
        <v>5.84</v>
      </c>
    </row>
    <row r="62" spans="1:5" x14ac:dyDescent="0.25">
      <c r="A62" s="1" t="s">
        <v>103</v>
      </c>
      <c r="B62" s="1">
        <v>3</v>
      </c>
      <c r="C62" s="1">
        <v>2.76</v>
      </c>
      <c r="D62" s="2" t="s">
        <v>82</v>
      </c>
      <c r="E62" s="1">
        <f t="shared" ref="E62:E67" si="1">B62*C62</f>
        <v>8.2799999999999994</v>
      </c>
    </row>
    <row r="63" spans="1:5" x14ac:dyDescent="0.25">
      <c r="A63" s="1" t="s">
        <v>104</v>
      </c>
      <c r="B63" s="1">
        <v>0</v>
      </c>
      <c r="C63" s="1">
        <v>2.64</v>
      </c>
      <c r="D63" s="2" t="s">
        <v>82</v>
      </c>
      <c r="E63" s="1">
        <f t="shared" si="1"/>
        <v>0</v>
      </c>
    </row>
    <row r="64" spans="1:5" x14ac:dyDescent="0.25">
      <c r="A64" s="1" t="s">
        <v>105</v>
      </c>
      <c r="B64" s="1">
        <v>2</v>
      </c>
      <c r="C64" s="1">
        <v>2.64</v>
      </c>
      <c r="D64" s="2" t="s">
        <v>82</v>
      </c>
      <c r="E64" s="1">
        <f t="shared" si="1"/>
        <v>5.28</v>
      </c>
    </row>
    <row r="65" spans="1:5" x14ac:dyDescent="0.25">
      <c r="A65" s="1" t="s">
        <v>106</v>
      </c>
      <c r="B65" s="1">
        <v>1</v>
      </c>
      <c r="C65" s="1">
        <v>15</v>
      </c>
      <c r="D65" s="2" t="s">
        <v>82</v>
      </c>
      <c r="E65" s="1">
        <f t="shared" si="1"/>
        <v>15</v>
      </c>
    </row>
    <row r="66" spans="1:5" x14ac:dyDescent="0.25">
      <c r="A66" s="1" t="s">
        <v>107</v>
      </c>
      <c r="B66" s="1">
        <v>3</v>
      </c>
      <c r="C66" s="1">
        <v>15</v>
      </c>
      <c r="D66" s="2" t="s">
        <v>82</v>
      </c>
      <c r="E66" s="1">
        <f t="shared" si="1"/>
        <v>45</v>
      </c>
    </row>
    <row r="67" spans="1:5" x14ac:dyDescent="0.25">
      <c r="A67" s="1" t="s">
        <v>108</v>
      </c>
      <c r="B67" s="1">
        <v>2</v>
      </c>
      <c r="C67" s="1">
        <v>15</v>
      </c>
      <c r="D67" s="2" t="s">
        <v>82</v>
      </c>
      <c r="E67" s="1">
        <f t="shared" si="1"/>
        <v>30</v>
      </c>
    </row>
    <row r="68" spans="1:5" x14ac:dyDescent="0.25">
      <c r="A68" s="1" t="s">
        <v>59</v>
      </c>
      <c r="B68" s="1">
        <v>0</v>
      </c>
      <c r="C68" s="1">
        <v>4</v>
      </c>
      <c r="D68" s="2" t="s">
        <v>82</v>
      </c>
      <c r="E68" s="1">
        <f t="shared" ref="E68:E84" si="2">B68*C68</f>
        <v>0</v>
      </c>
    </row>
    <row r="69" spans="1:5" x14ac:dyDescent="0.25">
      <c r="A69" s="1" t="s">
        <v>60</v>
      </c>
      <c r="B69" s="1">
        <v>0</v>
      </c>
      <c r="C69" s="1">
        <v>4</v>
      </c>
      <c r="D69" s="2" t="s">
        <v>82</v>
      </c>
      <c r="E69" s="1">
        <f t="shared" si="2"/>
        <v>0</v>
      </c>
    </row>
    <row r="70" spans="1:5" x14ac:dyDescent="0.25">
      <c r="A70" s="1" t="s">
        <v>61</v>
      </c>
      <c r="B70" s="1">
        <v>0</v>
      </c>
      <c r="C70" s="1">
        <v>2</v>
      </c>
      <c r="D70" s="2" t="s">
        <v>82</v>
      </c>
      <c r="E70" s="1">
        <f t="shared" si="2"/>
        <v>0</v>
      </c>
    </row>
    <row r="71" spans="1:5" x14ac:dyDescent="0.25">
      <c r="A71" s="1" t="s">
        <v>57</v>
      </c>
      <c r="B71" s="1">
        <v>1</v>
      </c>
      <c r="C71" s="1">
        <v>4.92</v>
      </c>
      <c r="D71" s="2" t="s">
        <v>82</v>
      </c>
      <c r="E71" s="1">
        <f t="shared" si="2"/>
        <v>4.92</v>
      </c>
    </row>
    <row r="72" spans="1:5" x14ac:dyDescent="0.25">
      <c r="A72" s="1" t="s">
        <v>58</v>
      </c>
      <c r="B72" s="1">
        <v>0</v>
      </c>
      <c r="C72" s="1">
        <v>8.5400000000000004E-2</v>
      </c>
      <c r="D72" s="2" t="s">
        <v>82</v>
      </c>
      <c r="E72" s="1">
        <f t="shared" si="2"/>
        <v>0</v>
      </c>
    </row>
    <row r="73" spans="1:5" x14ac:dyDescent="0.25">
      <c r="A73" s="1" t="s">
        <v>66</v>
      </c>
      <c r="B73" s="1">
        <v>0</v>
      </c>
      <c r="C73" s="1">
        <v>1.9419999999999999</v>
      </c>
      <c r="D73" s="2" t="s">
        <v>85</v>
      </c>
      <c r="E73" s="1">
        <f t="shared" si="2"/>
        <v>0</v>
      </c>
    </row>
    <row r="74" spans="1:5" x14ac:dyDescent="0.25">
      <c r="A74" s="1" t="s">
        <v>65</v>
      </c>
      <c r="B74" s="1">
        <v>3</v>
      </c>
      <c r="C74" s="1">
        <v>2.92</v>
      </c>
      <c r="D74" s="2" t="s">
        <v>85</v>
      </c>
      <c r="E74" s="1">
        <f t="shared" si="2"/>
        <v>8.76</v>
      </c>
    </row>
    <row r="75" spans="1:5" x14ac:dyDescent="0.25">
      <c r="A75" s="1" t="s">
        <v>67</v>
      </c>
      <c r="B75" s="1">
        <v>1</v>
      </c>
      <c r="C75" s="1">
        <v>3.72</v>
      </c>
      <c r="D75" s="2" t="s">
        <v>85</v>
      </c>
      <c r="E75" s="1">
        <f t="shared" si="2"/>
        <v>3.72</v>
      </c>
    </row>
    <row r="76" spans="1:5" x14ac:dyDescent="0.25">
      <c r="A76" s="1" t="s">
        <v>68</v>
      </c>
      <c r="B76" s="1">
        <v>0</v>
      </c>
      <c r="C76" s="1">
        <v>4.76</v>
      </c>
      <c r="D76" s="2" t="s">
        <v>86</v>
      </c>
      <c r="E76" s="1">
        <f t="shared" si="2"/>
        <v>0</v>
      </c>
    </row>
    <row r="77" spans="1:5" x14ac:dyDescent="0.25">
      <c r="A77" s="1" t="s">
        <v>69</v>
      </c>
      <c r="B77" s="1">
        <v>0</v>
      </c>
      <c r="C77" s="1">
        <v>9.41</v>
      </c>
      <c r="D77" s="2" t="s">
        <v>86</v>
      </c>
      <c r="E77" s="1">
        <f t="shared" si="2"/>
        <v>0</v>
      </c>
    </row>
    <row r="78" spans="1:5" x14ac:dyDescent="0.25">
      <c r="A78" s="1" t="s">
        <v>70</v>
      </c>
      <c r="B78" s="1">
        <v>1</v>
      </c>
      <c r="C78" s="1">
        <v>5.57</v>
      </c>
      <c r="D78" s="2" t="s">
        <v>82</v>
      </c>
      <c r="E78" s="1">
        <f t="shared" si="2"/>
        <v>5.57</v>
      </c>
    </row>
    <row r="79" spans="1:5" x14ac:dyDescent="0.25">
      <c r="A79" s="1" t="s">
        <v>71</v>
      </c>
      <c r="B79" s="1">
        <v>1</v>
      </c>
      <c r="C79" s="1">
        <v>5.57</v>
      </c>
      <c r="D79" s="2" t="s">
        <v>82</v>
      </c>
      <c r="E79" s="1">
        <f t="shared" si="2"/>
        <v>5.57</v>
      </c>
    </row>
    <row r="80" spans="1:5" x14ac:dyDescent="0.25">
      <c r="A80" s="1" t="s">
        <v>72</v>
      </c>
      <c r="B80" s="1">
        <v>1</v>
      </c>
      <c r="C80" s="1">
        <v>5.57</v>
      </c>
      <c r="D80" s="2" t="s">
        <v>82</v>
      </c>
      <c r="E80" s="1">
        <f t="shared" si="2"/>
        <v>5.57</v>
      </c>
    </row>
    <row r="81" spans="1:5" x14ac:dyDescent="0.25">
      <c r="A81" s="1" t="s">
        <v>73</v>
      </c>
      <c r="B81" s="1">
        <v>1</v>
      </c>
      <c r="C81" s="1">
        <v>5.57</v>
      </c>
      <c r="D81" s="2" t="s">
        <v>82</v>
      </c>
      <c r="E81" s="1">
        <f t="shared" si="2"/>
        <v>5.57</v>
      </c>
    </row>
    <row r="82" spans="1:5" x14ac:dyDescent="0.25">
      <c r="A82" s="1" t="s">
        <v>75</v>
      </c>
      <c r="B82" s="4">
        <v>0</v>
      </c>
      <c r="C82" s="1">
        <v>4.648E-2</v>
      </c>
      <c r="D82" s="2" t="s">
        <v>82</v>
      </c>
      <c r="E82" s="1">
        <f t="shared" si="2"/>
        <v>0</v>
      </c>
    </row>
    <row r="83" spans="1:5" x14ac:dyDescent="0.25">
      <c r="A83" s="1" t="s">
        <v>76</v>
      </c>
      <c r="B83" s="1">
        <v>0</v>
      </c>
      <c r="C83" s="1">
        <v>5.321E-2</v>
      </c>
      <c r="D83" s="2" t="s">
        <v>82</v>
      </c>
      <c r="E83" s="1">
        <f t="shared" si="2"/>
        <v>0</v>
      </c>
    </row>
    <row r="84" spans="1:5" x14ac:dyDescent="0.25">
      <c r="A84" s="1" t="s">
        <v>92</v>
      </c>
      <c r="B84" s="1">
        <v>0</v>
      </c>
      <c r="C84" s="1">
        <v>31.1</v>
      </c>
      <c r="D84" s="2" t="s">
        <v>93</v>
      </c>
      <c r="E84" s="1">
        <f t="shared" si="2"/>
        <v>0</v>
      </c>
    </row>
    <row r="85" spans="1:5" x14ac:dyDescent="0.25">
      <c r="A85" s="1"/>
      <c r="B85" s="1"/>
      <c r="C85" s="1"/>
      <c r="D85" s="1"/>
      <c r="E85" s="1">
        <f>SUM(E61:E84)</f>
        <v>149.07999999999998</v>
      </c>
    </row>
    <row r="88" spans="1:5" ht="26.25" x14ac:dyDescent="0.25">
      <c r="A88" s="29" t="s">
        <v>55</v>
      </c>
      <c r="B88" s="30"/>
      <c r="C88" s="30"/>
      <c r="D88" s="30"/>
      <c r="E88" s="31"/>
    </row>
    <row r="89" spans="1:5" x14ac:dyDescent="0.25">
      <c r="A89" s="2" t="s">
        <v>0</v>
      </c>
      <c r="B89" s="2" t="s">
        <v>3</v>
      </c>
      <c r="C89" s="2" t="s">
        <v>56</v>
      </c>
      <c r="D89" s="2" t="s">
        <v>81</v>
      </c>
      <c r="E89" s="2" t="s">
        <v>1</v>
      </c>
    </row>
    <row r="90" spans="1:5" x14ac:dyDescent="0.25">
      <c r="A90" s="1" t="s">
        <v>62</v>
      </c>
      <c r="B90" s="1">
        <v>1</v>
      </c>
      <c r="C90" s="1">
        <v>9.52</v>
      </c>
      <c r="D90" s="2" t="s">
        <v>87</v>
      </c>
      <c r="E90" s="1">
        <f t="shared" ref="E90:E97" si="3">B90*C90</f>
        <v>9.52</v>
      </c>
    </row>
    <row r="91" spans="1:5" x14ac:dyDescent="0.25">
      <c r="A91" s="1" t="s">
        <v>63</v>
      </c>
      <c r="B91" s="1">
        <v>2</v>
      </c>
      <c r="C91" s="1">
        <v>5.76</v>
      </c>
      <c r="D91" s="2" t="s">
        <v>87</v>
      </c>
      <c r="E91" s="1">
        <f t="shared" si="3"/>
        <v>11.52</v>
      </c>
    </row>
    <row r="92" spans="1:5" x14ac:dyDescent="0.25">
      <c r="A92" s="1" t="s">
        <v>64</v>
      </c>
      <c r="B92" s="1">
        <v>0</v>
      </c>
      <c r="C92" s="1">
        <v>2.97</v>
      </c>
      <c r="D92" s="2" t="s">
        <v>87</v>
      </c>
      <c r="E92" s="1">
        <f t="shared" si="3"/>
        <v>0</v>
      </c>
    </row>
    <row r="93" spans="1:5" x14ac:dyDescent="0.25">
      <c r="A93" s="1" t="s">
        <v>94</v>
      </c>
      <c r="B93" s="1">
        <v>0</v>
      </c>
      <c r="C93" s="1">
        <v>14.92</v>
      </c>
      <c r="D93" s="2" t="s">
        <v>86</v>
      </c>
      <c r="E93" s="1">
        <f t="shared" si="3"/>
        <v>0</v>
      </c>
    </row>
    <row r="94" spans="1:5" x14ac:dyDescent="0.25">
      <c r="A94" s="1" t="s">
        <v>95</v>
      </c>
      <c r="B94" s="1">
        <v>1</v>
      </c>
      <c r="C94" s="1">
        <v>18.84</v>
      </c>
      <c r="D94" s="2" t="s">
        <v>96</v>
      </c>
      <c r="E94" s="1">
        <f t="shared" si="3"/>
        <v>18.84</v>
      </c>
    </row>
    <row r="95" spans="1:5" x14ac:dyDescent="0.25">
      <c r="A95" s="1" t="s">
        <v>97</v>
      </c>
      <c r="B95" s="1">
        <v>1</v>
      </c>
      <c r="C95" s="1">
        <v>18.84</v>
      </c>
      <c r="D95" s="2" t="s">
        <v>96</v>
      </c>
      <c r="E95" s="1">
        <f t="shared" si="3"/>
        <v>18.84</v>
      </c>
    </row>
    <row r="96" spans="1:5" x14ac:dyDescent="0.25">
      <c r="A96" s="1" t="s">
        <v>98</v>
      </c>
      <c r="B96" s="1">
        <v>4</v>
      </c>
      <c r="C96" s="1">
        <v>15.69</v>
      </c>
      <c r="D96" s="2" t="s">
        <v>96</v>
      </c>
      <c r="E96" s="1">
        <f t="shared" si="3"/>
        <v>62.76</v>
      </c>
    </row>
    <row r="97" spans="1:5" x14ac:dyDescent="0.25">
      <c r="A97" s="1" t="s">
        <v>99</v>
      </c>
      <c r="B97" s="1">
        <v>8</v>
      </c>
      <c r="C97" s="1">
        <v>3.78</v>
      </c>
      <c r="D97" s="2" t="s">
        <v>96</v>
      </c>
      <c r="E97" s="1">
        <f t="shared" si="3"/>
        <v>30.24</v>
      </c>
    </row>
    <row r="98" spans="1:5" x14ac:dyDescent="0.25">
      <c r="A98" s="1"/>
      <c r="B98" s="1"/>
      <c r="C98" s="1"/>
      <c r="D98" s="1"/>
      <c r="E98" s="1">
        <f>SUM(E90:E97)</f>
        <v>151.72</v>
      </c>
    </row>
    <row r="101" spans="1:5" ht="26.25" x14ac:dyDescent="0.25">
      <c r="A101" s="29" t="s">
        <v>79</v>
      </c>
      <c r="B101" s="30"/>
      <c r="C101" s="30"/>
      <c r="D101" s="30"/>
      <c r="E101" s="31"/>
    </row>
    <row r="102" spans="1:5" x14ac:dyDescent="0.25">
      <c r="A102" s="2" t="s">
        <v>0</v>
      </c>
      <c r="B102" s="2" t="s">
        <v>3</v>
      </c>
      <c r="C102" s="2" t="s">
        <v>56</v>
      </c>
      <c r="D102" s="2" t="s">
        <v>81</v>
      </c>
      <c r="E102" s="2" t="s">
        <v>1</v>
      </c>
    </row>
    <row r="103" spans="1:5" x14ac:dyDescent="0.25">
      <c r="A103" s="1" t="s">
        <v>80</v>
      </c>
      <c r="B103" s="1">
        <v>0</v>
      </c>
      <c r="C103" s="2">
        <v>7.21</v>
      </c>
      <c r="D103" s="2" t="s">
        <v>88</v>
      </c>
      <c r="E103" s="1">
        <f>B103*C103</f>
        <v>0</v>
      </c>
    </row>
    <row r="104" spans="1:5" x14ac:dyDescent="0.25">
      <c r="A104" s="1" t="s">
        <v>101</v>
      </c>
      <c r="B104" s="1">
        <v>5.7960000000000003</v>
      </c>
      <c r="C104" s="2">
        <v>4.6900000000000004</v>
      </c>
      <c r="D104" s="2" t="s">
        <v>88</v>
      </c>
      <c r="E104" s="1">
        <f t="shared" ref="E104:E105" si="4">B104*C104</f>
        <v>27.183240000000005</v>
      </c>
    </row>
    <row r="105" spans="1:5" x14ac:dyDescent="0.25">
      <c r="A105" s="1" t="s">
        <v>100</v>
      </c>
      <c r="B105" s="1">
        <v>11.592000000000001</v>
      </c>
      <c r="C105" s="2">
        <v>13.69</v>
      </c>
      <c r="D105" s="2" t="s">
        <v>88</v>
      </c>
      <c r="E105" s="1">
        <f t="shared" si="4"/>
        <v>158.69448</v>
      </c>
    </row>
    <row r="106" spans="1:5" x14ac:dyDescent="0.25">
      <c r="A106" s="1"/>
      <c r="B106" s="1"/>
      <c r="C106" s="1"/>
      <c r="D106" s="1"/>
      <c r="E106" s="1">
        <f>SUM(E103:E105)</f>
        <v>185.87772000000001</v>
      </c>
    </row>
    <row r="109" spans="1:5" x14ac:dyDescent="0.25">
      <c r="D109" s="1" t="s">
        <v>109</v>
      </c>
      <c r="E109" s="1">
        <f>E56+E85+E98+E106</f>
        <v>723.01472000000012</v>
      </c>
    </row>
  </sheetData>
  <mergeCells count="4">
    <mergeCell ref="A1:E1"/>
    <mergeCell ref="A59:E59"/>
    <mergeCell ref="A88:E88"/>
    <mergeCell ref="A101:E101"/>
  </mergeCells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167D99-477B-4932-A941-005EE1AE2A07}">
  <dimension ref="A1:F272"/>
  <sheetViews>
    <sheetView topLeftCell="A235" workbookViewId="0">
      <selection activeCell="A248" sqref="A248:E268"/>
    </sheetView>
  </sheetViews>
  <sheetFormatPr baseColWidth="10" defaultRowHeight="15" x14ac:dyDescent="0.25"/>
  <cols>
    <col min="1" max="1" width="45.5703125" customWidth="1"/>
    <col min="3" max="3" width="11.28515625" bestFit="1" customWidth="1"/>
  </cols>
  <sheetData>
    <row r="1" spans="1:6" ht="40.5" customHeight="1" x14ac:dyDescent="0.4">
      <c r="A1" s="29" t="s">
        <v>25</v>
      </c>
      <c r="B1" s="30"/>
      <c r="C1" s="30"/>
      <c r="D1" s="30"/>
      <c r="E1" s="31"/>
      <c r="F1" s="3"/>
    </row>
    <row r="2" spans="1:6" ht="17.25" customHeight="1" x14ac:dyDescent="0.25">
      <c r="A2" s="2" t="s">
        <v>0</v>
      </c>
      <c r="B2" s="2" t="s">
        <v>3</v>
      </c>
      <c r="C2" s="2" t="s">
        <v>56</v>
      </c>
      <c r="D2" s="2" t="s">
        <v>81</v>
      </c>
      <c r="E2" s="2" t="s">
        <v>1</v>
      </c>
    </row>
    <row r="3" spans="1:6" x14ac:dyDescent="0.25">
      <c r="A3" s="1" t="s">
        <v>2</v>
      </c>
      <c r="B3" s="2">
        <v>100</v>
      </c>
      <c r="C3" s="2">
        <v>0.99</v>
      </c>
      <c r="D3" s="2" t="s">
        <v>121</v>
      </c>
      <c r="E3" s="2">
        <f t="shared" ref="E3:E39" si="0">B3*C3/100</f>
        <v>0.99</v>
      </c>
    </row>
    <row r="4" spans="1:6" x14ac:dyDescent="0.25">
      <c r="A4" s="1" t="s">
        <v>4</v>
      </c>
      <c r="B4" s="2">
        <v>100</v>
      </c>
      <c r="C4" s="2">
        <v>1.05</v>
      </c>
      <c r="D4" s="2" t="s">
        <v>121</v>
      </c>
      <c r="E4" s="2">
        <f t="shared" si="0"/>
        <v>1.05</v>
      </c>
    </row>
    <row r="5" spans="1:6" x14ac:dyDescent="0.25">
      <c r="A5" s="1" t="s">
        <v>5</v>
      </c>
      <c r="B5" s="2">
        <v>100</v>
      </c>
      <c r="C5" s="2">
        <v>1.05</v>
      </c>
      <c r="D5" s="2" t="s">
        <v>121</v>
      </c>
      <c r="E5" s="2">
        <f t="shared" si="0"/>
        <v>1.05</v>
      </c>
    </row>
    <row r="6" spans="1:6" x14ac:dyDescent="0.25">
      <c r="A6" s="1" t="s">
        <v>6</v>
      </c>
      <c r="B6" s="2">
        <v>200</v>
      </c>
      <c r="C6" s="2">
        <v>1.17</v>
      </c>
      <c r="D6" s="2" t="s">
        <v>121</v>
      </c>
      <c r="E6" s="2">
        <f t="shared" si="0"/>
        <v>2.34</v>
      </c>
    </row>
    <row r="7" spans="1:6" x14ac:dyDescent="0.25">
      <c r="A7" s="1" t="s">
        <v>7</v>
      </c>
      <c r="B7" s="2">
        <v>500</v>
      </c>
      <c r="C7" s="2">
        <v>1.23</v>
      </c>
      <c r="D7" s="2" t="s">
        <v>121</v>
      </c>
      <c r="E7" s="2">
        <f t="shared" si="0"/>
        <v>6.15</v>
      </c>
    </row>
    <row r="8" spans="1:6" x14ac:dyDescent="0.25">
      <c r="A8" s="1" t="s">
        <v>8</v>
      </c>
      <c r="B8" s="2">
        <v>400</v>
      </c>
      <c r="C8" s="2">
        <v>1.35</v>
      </c>
      <c r="D8" s="2" t="s">
        <v>121</v>
      </c>
      <c r="E8" s="2">
        <f t="shared" si="0"/>
        <v>5.4</v>
      </c>
    </row>
    <row r="9" spans="1:6" x14ac:dyDescent="0.25">
      <c r="A9" s="1" t="s">
        <v>9</v>
      </c>
      <c r="B9" s="2">
        <v>1030</v>
      </c>
      <c r="C9" s="2">
        <v>1.81</v>
      </c>
      <c r="D9" s="2" t="s">
        <v>121</v>
      </c>
      <c r="E9" s="2">
        <f t="shared" si="0"/>
        <v>18.643000000000001</v>
      </c>
    </row>
    <row r="10" spans="1:6" x14ac:dyDescent="0.25">
      <c r="A10" s="1" t="s">
        <v>10</v>
      </c>
      <c r="B10" s="2">
        <v>2050</v>
      </c>
      <c r="C10" s="2">
        <v>1.05</v>
      </c>
      <c r="D10" s="2" t="s">
        <v>121</v>
      </c>
      <c r="E10" s="2">
        <f t="shared" si="0"/>
        <v>21.524999999999999</v>
      </c>
    </row>
    <row r="11" spans="1:6" x14ac:dyDescent="0.25">
      <c r="A11" s="1" t="s">
        <v>11</v>
      </c>
      <c r="B11" s="2">
        <v>1500</v>
      </c>
      <c r="C11" s="2">
        <v>1.1000000000000001</v>
      </c>
      <c r="D11" s="2" t="s">
        <v>121</v>
      </c>
      <c r="E11" s="2">
        <f t="shared" si="0"/>
        <v>16.500000000000004</v>
      </c>
    </row>
    <row r="12" spans="1:6" x14ac:dyDescent="0.25">
      <c r="A12" s="1" t="s">
        <v>12</v>
      </c>
      <c r="B12" s="2">
        <v>1500</v>
      </c>
      <c r="C12" s="2">
        <v>1.17</v>
      </c>
      <c r="D12" s="2" t="s">
        <v>121</v>
      </c>
      <c r="E12" s="2">
        <f t="shared" si="0"/>
        <v>17.55</v>
      </c>
    </row>
    <row r="13" spans="1:6" x14ac:dyDescent="0.25">
      <c r="A13" s="1" t="s">
        <v>13</v>
      </c>
      <c r="B13" s="2">
        <v>3500</v>
      </c>
      <c r="C13" s="2">
        <v>1.23</v>
      </c>
      <c r="D13" s="2" t="s">
        <v>121</v>
      </c>
      <c r="E13" s="2">
        <f t="shared" si="0"/>
        <v>43.05</v>
      </c>
    </row>
    <row r="14" spans="1:6" x14ac:dyDescent="0.25">
      <c r="A14" s="1" t="s">
        <v>14</v>
      </c>
      <c r="B14" s="2">
        <v>1200</v>
      </c>
      <c r="C14" s="2">
        <v>2.3199999999999998</v>
      </c>
      <c r="D14" s="2" t="s">
        <v>121</v>
      </c>
      <c r="E14" s="2">
        <f t="shared" si="0"/>
        <v>27.84</v>
      </c>
    </row>
    <row r="15" spans="1:6" x14ac:dyDescent="0.25">
      <c r="A15" s="1" t="s">
        <v>15</v>
      </c>
      <c r="B15" s="2">
        <v>1300</v>
      </c>
      <c r="C15" s="2">
        <v>1.69</v>
      </c>
      <c r="D15" s="2" t="s">
        <v>121</v>
      </c>
      <c r="E15" s="2">
        <f t="shared" si="0"/>
        <v>21.97</v>
      </c>
    </row>
    <row r="16" spans="1:6" x14ac:dyDescent="0.25">
      <c r="A16" s="1" t="s">
        <v>16</v>
      </c>
      <c r="B16" s="2">
        <v>1200</v>
      </c>
      <c r="C16" s="2">
        <v>3.76</v>
      </c>
      <c r="D16" s="2" t="s">
        <v>121</v>
      </c>
      <c r="E16" s="2">
        <f t="shared" si="0"/>
        <v>45.12</v>
      </c>
    </row>
    <row r="17" spans="1:5" x14ac:dyDescent="0.25">
      <c r="A17" s="1" t="s">
        <v>17</v>
      </c>
      <c r="B17" s="2">
        <v>2030</v>
      </c>
      <c r="C17" s="2">
        <v>1.17</v>
      </c>
      <c r="D17" s="2" t="s">
        <v>121</v>
      </c>
      <c r="E17" s="2">
        <f t="shared" si="0"/>
        <v>23.750999999999998</v>
      </c>
    </row>
    <row r="18" spans="1:5" x14ac:dyDescent="0.25">
      <c r="A18" s="1" t="s">
        <v>18</v>
      </c>
      <c r="B18" s="2">
        <v>2500</v>
      </c>
      <c r="C18" s="2">
        <v>1.23</v>
      </c>
      <c r="D18" s="2" t="s">
        <v>121</v>
      </c>
      <c r="E18" s="2">
        <f t="shared" si="0"/>
        <v>30.75</v>
      </c>
    </row>
    <row r="19" spans="1:5" x14ac:dyDescent="0.25">
      <c r="A19" s="1" t="s">
        <v>19</v>
      </c>
      <c r="B19" s="2">
        <v>1600</v>
      </c>
      <c r="C19" s="2">
        <v>1.29</v>
      </c>
      <c r="D19" s="2" t="s">
        <v>121</v>
      </c>
      <c r="E19" s="2">
        <f t="shared" si="0"/>
        <v>20.64</v>
      </c>
    </row>
    <row r="20" spans="1:5" x14ac:dyDescent="0.25">
      <c r="A20" s="1" t="s">
        <v>20</v>
      </c>
      <c r="B20" s="2">
        <v>520</v>
      </c>
      <c r="C20" s="2">
        <v>1.53</v>
      </c>
      <c r="D20" s="2" t="s">
        <v>121</v>
      </c>
      <c r="E20" s="2">
        <f t="shared" si="0"/>
        <v>7.9560000000000004</v>
      </c>
    </row>
    <row r="21" spans="1:5" x14ac:dyDescent="0.25">
      <c r="A21" s="1" t="s">
        <v>21</v>
      </c>
      <c r="B21" s="2">
        <v>1000</v>
      </c>
      <c r="C21" s="2">
        <v>1.74</v>
      </c>
      <c r="D21" s="2" t="s">
        <v>121</v>
      </c>
      <c r="E21" s="2">
        <f t="shared" si="0"/>
        <v>17.399999999999999</v>
      </c>
    </row>
    <row r="22" spans="1:5" x14ac:dyDescent="0.25">
      <c r="A22" s="1" t="s">
        <v>22</v>
      </c>
      <c r="B22" s="2">
        <v>900</v>
      </c>
      <c r="C22" s="2">
        <v>1.74</v>
      </c>
      <c r="D22" s="2" t="s">
        <v>121</v>
      </c>
      <c r="E22" s="2">
        <f t="shared" si="0"/>
        <v>15.66</v>
      </c>
    </row>
    <row r="23" spans="1:5" x14ac:dyDescent="0.25">
      <c r="A23" s="1" t="s">
        <v>23</v>
      </c>
      <c r="B23" s="2">
        <v>700</v>
      </c>
      <c r="C23" s="2">
        <v>2.4500000000000002</v>
      </c>
      <c r="D23" s="2" t="s">
        <v>121</v>
      </c>
      <c r="E23" s="2">
        <f t="shared" si="0"/>
        <v>17.150000000000002</v>
      </c>
    </row>
    <row r="24" spans="1:5" x14ac:dyDescent="0.25">
      <c r="A24" s="1" t="s">
        <v>24</v>
      </c>
      <c r="B24" s="2">
        <v>600</v>
      </c>
      <c r="C24" s="2">
        <v>4.66</v>
      </c>
      <c r="D24" s="2" t="s">
        <v>121</v>
      </c>
      <c r="E24" s="2">
        <f t="shared" si="0"/>
        <v>27.96</v>
      </c>
    </row>
    <row r="25" spans="1:5" x14ac:dyDescent="0.25">
      <c r="A25" s="1" t="s">
        <v>26</v>
      </c>
      <c r="B25" s="2">
        <v>530</v>
      </c>
      <c r="C25" s="2">
        <v>2.12</v>
      </c>
      <c r="D25" s="2" t="s">
        <v>121</v>
      </c>
      <c r="E25" s="2">
        <f t="shared" si="0"/>
        <v>11.236000000000001</v>
      </c>
    </row>
    <row r="26" spans="1:5" x14ac:dyDescent="0.25">
      <c r="A26" s="1" t="s">
        <v>27</v>
      </c>
      <c r="B26" s="2">
        <v>700</v>
      </c>
      <c r="C26" s="2">
        <v>2.12</v>
      </c>
      <c r="D26" s="2" t="s">
        <v>121</v>
      </c>
      <c r="E26" s="2">
        <f t="shared" si="0"/>
        <v>14.84</v>
      </c>
    </row>
    <row r="27" spans="1:5" x14ac:dyDescent="0.25">
      <c r="A27" s="1" t="s">
        <v>28</v>
      </c>
      <c r="B27" s="2">
        <v>650</v>
      </c>
      <c r="C27" s="2">
        <v>2.12</v>
      </c>
      <c r="D27" s="2" t="s">
        <v>121</v>
      </c>
      <c r="E27" s="2">
        <f t="shared" si="0"/>
        <v>13.78</v>
      </c>
    </row>
    <row r="28" spans="1:5" x14ac:dyDescent="0.25">
      <c r="A28" s="1" t="s">
        <v>29</v>
      </c>
      <c r="B28" s="2">
        <v>600</v>
      </c>
      <c r="C28" s="2">
        <v>2.19</v>
      </c>
      <c r="D28" s="2" t="s">
        <v>121</v>
      </c>
      <c r="E28" s="2">
        <f t="shared" si="0"/>
        <v>13.14</v>
      </c>
    </row>
    <row r="29" spans="1:5" x14ac:dyDescent="0.25">
      <c r="A29" s="1" t="s">
        <v>30</v>
      </c>
      <c r="B29" s="2">
        <v>520</v>
      </c>
      <c r="C29" s="2">
        <v>2.2599999999999998</v>
      </c>
      <c r="D29" s="2" t="s">
        <v>121</v>
      </c>
      <c r="E29" s="2">
        <f t="shared" si="0"/>
        <v>11.751999999999999</v>
      </c>
    </row>
    <row r="30" spans="1:5" x14ac:dyDescent="0.25">
      <c r="A30" s="1" t="s">
        <v>31</v>
      </c>
      <c r="B30" s="2">
        <v>200</v>
      </c>
      <c r="C30" s="2">
        <v>3.03</v>
      </c>
      <c r="D30" s="2" t="s">
        <v>121</v>
      </c>
      <c r="E30" s="2">
        <f t="shared" si="0"/>
        <v>6.06</v>
      </c>
    </row>
    <row r="31" spans="1:5" x14ac:dyDescent="0.25">
      <c r="A31" s="1" t="s">
        <v>32</v>
      </c>
      <c r="B31" s="2">
        <v>100</v>
      </c>
      <c r="C31" s="2">
        <v>3.15</v>
      </c>
      <c r="D31" s="2" t="s">
        <v>121</v>
      </c>
      <c r="E31" s="2">
        <f t="shared" si="0"/>
        <v>3.15</v>
      </c>
    </row>
    <row r="32" spans="1:5" x14ac:dyDescent="0.25">
      <c r="A32" s="1" t="s">
        <v>33</v>
      </c>
      <c r="B32" s="2">
        <v>100</v>
      </c>
      <c r="C32" s="2">
        <v>3.7240000000000002</v>
      </c>
      <c r="D32" s="2" t="s">
        <v>121</v>
      </c>
      <c r="E32" s="2">
        <f t="shared" si="0"/>
        <v>3.7240000000000002</v>
      </c>
    </row>
    <row r="33" spans="1:5" x14ac:dyDescent="0.25">
      <c r="A33" s="1" t="s">
        <v>34</v>
      </c>
      <c r="B33" s="2">
        <v>250</v>
      </c>
      <c r="C33" s="2">
        <v>3.92</v>
      </c>
      <c r="D33" s="2" t="s">
        <v>121</v>
      </c>
      <c r="E33" s="2">
        <f t="shared" si="0"/>
        <v>9.8000000000000007</v>
      </c>
    </row>
    <row r="34" spans="1:5" x14ac:dyDescent="0.25">
      <c r="A34" s="1" t="s">
        <v>35</v>
      </c>
      <c r="B34" s="2">
        <v>500</v>
      </c>
      <c r="C34" s="2">
        <v>4.2699999999999996</v>
      </c>
      <c r="D34" s="2" t="s">
        <v>121</v>
      </c>
      <c r="E34" s="2">
        <f t="shared" si="0"/>
        <v>21.35</v>
      </c>
    </row>
    <row r="35" spans="1:5" x14ac:dyDescent="0.25">
      <c r="A35" s="1" t="s">
        <v>36</v>
      </c>
      <c r="B35" s="2">
        <v>120</v>
      </c>
      <c r="C35" s="2">
        <v>5.46</v>
      </c>
      <c r="D35" s="2" t="s">
        <v>121</v>
      </c>
      <c r="E35" s="2">
        <f t="shared" si="0"/>
        <v>6.5520000000000005</v>
      </c>
    </row>
    <row r="36" spans="1:5" x14ac:dyDescent="0.25">
      <c r="A36" s="1" t="s">
        <v>118</v>
      </c>
      <c r="B36" s="2">
        <v>250</v>
      </c>
      <c r="C36" s="2">
        <v>5.66</v>
      </c>
      <c r="D36" s="2" t="s">
        <v>121</v>
      </c>
      <c r="E36" s="2">
        <f t="shared" ref="E36" si="1">B36*C36/100</f>
        <v>14.15</v>
      </c>
    </row>
    <row r="37" spans="1:5" x14ac:dyDescent="0.25">
      <c r="A37" s="1" t="s">
        <v>37</v>
      </c>
      <c r="B37" s="2">
        <v>180</v>
      </c>
      <c r="C37" s="2">
        <v>8.41</v>
      </c>
      <c r="D37" s="2" t="s">
        <v>121</v>
      </c>
      <c r="E37" s="2">
        <f t="shared" si="0"/>
        <v>15.138</v>
      </c>
    </row>
    <row r="38" spans="1:5" x14ac:dyDescent="0.25">
      <c r="A38" s="1" t="s">
        <v>38</v>
      </c>
      <c r="B38" s="2">
        <v>250</v>
      </c>
      <c r="C38" s="2">
        <v>11.94</v>
      </c>
      <c r="D38" s="2" t="s">
        <v>121</v>
      </c>
      <c r="E38" s="2">
        <f t="shared" si="0"/>
        <v>29.85</v>
      </c>
    </row>
    <row r="39" spans="1:5" x14ac:dyDescent="0.25">
      <c r="A39" s="1" t="s">
        <v>39</v>
      </c>
      <c r="B39" s="2">
        <v>900</v>
      </c>
      <c r="C39" s="2">
        <v>11.875</v>
      </c>
      <c r="D39" s="2" t="s">
        <v>121</v>
      </c>
      <c r="E39" s="2">
        <f t="shared" si="0"/>
        <v>106.875</v>
      </c>
    </row>
    <row r="40" spans="1:5" x14ac:dyDescent="0.25">
      <c r="A40" s="1" t="s">
        <v>133</v>
      </c>
      <c r="B40" s="2">
        <v>50</v>
      </c>
      <c r="C40" s="2">
        <v>21.71</v>
      </c>
      <c r="D40" s="2" t="s">
        <v>121</v>
      </c>
      <c r="E40" s="2">
        <f t="shared" ref="E40" si="2">B40*C40/100</f>
        <v>10.855</v>
      </c>
    </row>
    <row r="41" spans="1:5" x14ac:dyDescent="0.25">
      <c r="A41" s="1" t="s">
        <v>119</v>
      </c>
      <c r="B41" s="2">
        <v>12.24</v>
      </c>
      <c r="C41" s="2">
        <v>35.24</v>
      </c>
      <c r="D41" s="2" t="s">
        <v>121</v>
      </c>
      <c r="E41" s="2">
        <f>B41*C41/100</f>
        <v>4.3133759999999999</v>
      </c>
    </row>
    <row r="42" spans="1:5" x14ac:dyDescent="0.25">
      <c r="A42" s="1" t="s">
        <v>44</v>
      </c>
      <c r="B42" s="2">
        <v>30</v>
      </c>
      <c r="C42" s="2">
        <v>35.24</v>
      </c>
      <c r="D42" s="2" t="s">
        <v>121</v>
      </c>
      <c r="E42" s="2">
        <f>B42*C42/100</f>
        <v>10.572000000000001</v>
      </c>
    </row>
    <row r="43" spans="1:5" x14ac:dyDescent="0.25">
      <c r="A43" s="1" t="s">
        <v>120</v>
      </c>
      <c r="B43" s="2">
        <v>190</v>
      </c>
      <c r="C43" s="2">
        <v>13.15</v>
      </c>
      <c r="D43" s="2" t="s">
        <v>121</v>
      </c>
      <c r="E43" s="2">
        <f>B43*C43/100</f>
        <v>24.984999999999999</v>
      </c>
    </row>
    <row r="44" spans="1:5" x14ac:dyDescent="0.25">
      <c r="A44" s="1" t="s">
        <v>122</v>
      </c>
      <c r="B44" s="2">
        <v>180</v>
      </c>
      <c r="C44" s="2">
        <v>15.56</v>
      </c>
      <c r="D44" s="2" t="s">
        <v>121</v>
      </c>
      <c r="E44" s="2">
        <f t="shared" ref="E44:E46" si="3">B44*C44/100</f>
        <v>28.008000000000003</v>
      </c>
    </row>
    <row r="45" spans="1:5" x14ac:dyDescent="0.25">
      <c r="A45" s="1" t="s">
        <v>123</v>
      </c>
      <c r="B45" s="2">
        <v>190</v>
      </c>
      <c r="C45" s="2">
        <v>28.44</v>
      </c>
      <c r="D45" s="2" t="s">
        <v>121</v>
      </c>
      <c r="E45" s="2">
        <f t="shared" si="3"/>
        <v>54.036000000000001</v>
      </c>
    </row>
    <row r="46" spans="1:5" x14ac:dyDescent="0.25">
      <c r="A46" s="1" t="s">
        <v>124</v>
      </c>
      <c r="B46" s="2">
        <v>80</v>
      </c>
      <c r="C46" s="2">
        <v>10.54</v>
      </c>
      <c r="D46" s="2" t="s">
        <v>121</v>
      </c>
      <c r="E46" s="2">
        <f t="shared" si="3"/>
        <v>8.4319999999999986</v>
      </c>
    </row>
    <row r="47" spans="1:5" x14ac:dyDescent="0.25">
      <c r="A47" s="1" t="s">
        <v>125</v>
      </c>
      <c r="B47" s="2">
        <v>9</v>
      </c>
      <c r="C47" s="2">
        <v>0.67</v>
      </c>
      <c r="D47" s="2" t="s">
        <v>81</v>
      </c>
      <c r="E47" s="2">
        <f>B47*C47</f>
        <v>6.03</v>
      </c>
    </row>
    <row r="48" spans="1:5" x14ac:dyDescent="0.25">
      <c r="A48" s="1" t="s">
        <v>126</v>
      </c>
      <c r="B48" s="2">
        <v>200</v>
      </c>
      <c r="C48" s="2">
        <v>3.0979999999999999</v>
      </c>
      <c r="D48" s="2" t="s">
        <v>121</v>
      </c>
      <c r="E48" s="2">
        <f>B48*C48/100</f>
        <v>6.1960000000000006</v>
      </c>
    </row>
    <row r="49" spans="1:5" x14ac:dyDescent="0.25">
      <c r="A49" s="1" t="s">
        <v>135</v>
      </c>
      <c r="B49" s="2">
        <v>50</v>
      </c>
      <c r="C49" s="2"/>
      <c r="D49" s="2" t="s">
        <v>121</v>
      </c>
      <c r="E49" s="2">
        <f>B49*C49/100</f>
        <v>0</v>
      </c>
    </row>
    <row r="50" spans="1:5" x14ac:dyDescent="0.25">
      <c r="A50" s="1" t="s">
        <v>47</v>
      </c>
      <c r="B50" s="2">
        <v>395</v>
      </c>
      <c r="C50" s="2">
        <v>2.1</v>
      </c>
      <c r="D50" s="2" t="s">
        <v>121</v>
      </c>
      <c r="E50" s="2">
        <f>B50*C50/100</f>
        <v>8.2949999999999999</v>
      </c>
    </row>
    <row r="51" spans="1:5" x14ac:dyDescent="0.25">
      <c r="A51" s="1" t="s">
        <v>141</v>
      </c>
      <c r="B51" s="2">
        <v>18</v>
      </c>
      <c r="C51" s="2">
        <v>0.42020000000000002</v>
      </c>
      <c r="D51" s="2" t="s">
        <v>81</v>
      </c>
      <c r="E51" s="2">
        <f>B51*C51</f>
        <v>7.5636000000000001</v>
      </c>
    </row>
    <row r="52" spans="1:5" x14ac:dyDescent="0.25">
      <c r="A52" s="1" t="s">
        <v>142</v>
      </c>
      <c r="B52" s="2">
        <v>40</v>
      </c>
      <c r="C52" s="2">
        <v>0.89500000000000002</v>
      </c>
      <c r="D52" s="2" t="s">
        <v>81</v>
      </c>
      <c r="E52" s="2">
        <f t="shared" ref="E52" si="4">B52*C52</f>
        <v>35.799999999999997</v>
      </c>
    </row>
    <row r="53" spans="1:5" x14ac:dyDescent="0.25">
      <c r="A53" s="1" t="s">
        <v>129</v>
      </c>
      <c r="B53" s="2">
        <v>400</v>
      </c>
      <c r="C53" s="2"/>
      <c r="D53" s="2" t="s">
        <v>121</v>
      </c>
      <c r="E53" s="2">
        <f t="shared" ref="E53:E54" si="5">B53*C53/100</f>
        <v>0</v>
      </c>
    </row>
    <row r="54" spans="1:5" x14ac:dyDescent="0.25">
      <c r="A54" s="1" t="s">
        <v>131</v>
      </c>
      <c r="B54" s="2">
        <v>50</v>
      </c>
      <c r="C54" s="2"/>
      <c r="D54" s="2" t="s">
        <v>121</v>
      </c>
      <c r="E54" s="2">
        <f t="shared" si="5"/>
        <v>0</v>
      </c>
    </row>
    <row r="55" spans="1:5" x14ac:dyDescent="0.25">
      <c r="A55" s="1" t="s">
        <v>130</v>
      </c>
      <c r="B55" s="2">
        <v>230</v>
      </c>
      <c r="C55" s="2">
        <v>2.524</v>
      </c>
      <c r="D55" s="2" t="s">
        <v>121</v>
      </c>
      <c r="E55" s="2">
        <f>B55*C55/100</f>
        <v>5.8052000000000001</v>
      </c>
    </row>
    <row r="56" spans="1:5" x14ac:dyDescent="0.25">
      <c r="A56" s="1" t="s">
        <v>127</v>
      </c>
      <c r="B56" s="2">
        <v>30</v>
      </c>
      <c r="C56" s="2"/>
      <c r="D56" s="2" t="s">
        <v>81</v>
      </c>
      <c r="E56" s="2">
        <f>B56*C56</f>
        <v>0</v>
      </c>
    </row>
    <row r="57" spans="1:5" x14ac:dyDescent="0.25">
      <c r="A57" s="1" t="s">
        <v>132</v>
      </c>
      <c r="B57" s="2">
        <v>150</v>
      </c>
      <c r="C57" s="2"/>
      <c r="D57" s="2" t="s">
        <v>81</v>
      </c>
      <c r="E57" s="2">
        <f t="shared" ref="E57:E62" si="6">B57*C57</f>
        <v>0</v>
      </c>
    </row>
    <row r="58" spans="1:5" x14ac:dyDescent="0.25">
      <c r="A58" s="1" t="s">
        <v>281</v>
      </c>
      <c r="B58" s="2">
        <v>429</v>
      </c>
      <c r="C58" s="2">
        <v>9.3700000000000006E-2</v>
      </c>
      <c r="D58" s="2" t="s">
        <v>81</v>
      </c>
      <c r="E58" s="2">
        <f t="shared" si="6"/>
        <v>40.197300000000006</v>
      </c>
    </row>
    <row r="59" spans="1:5" x14ac:dyDescent="0.25">
      <c r="A59" s="1" t="s">
        <v>134</v>
      </c>
      <c r="B59" s="2">
        <v>145</v>
      </c>
      <c r="C59" s="2">
        <v>2.6550000000000001E-2</v>
      </c>
      <c r="D59" s="2" t="s">
        <v>81</v>
      </c>
      <c r="E59" s="2">
        <f t="shared" si="6"/>
        <v>3.8497500000000002</v>
      </c>
    </row>
    <row r="60" spans="1:5" x14ac:dyDescent="0.25">
      <c r="A60" s="1" t="s">
        <v>128</v>
      </c>
      <c r="B60" s="2">
        <v>90</v>
      </c>
      <c r="C60" s="2">
        <v>3.8199999999999998E-2</v>
      </c>
      <c r="D60" s="2" t="s">
        <v>81</v>
      </c>
      <c r="E60" s="2">
        <f t="shared" si="6"/>
        <v>3.4379999999999997</v>
      </c>
    </row>
    <row r="61" spans="1:5" x14ac:dyDescent="0.25">
      <c r="A61" s="1" t="s">
        <v>136</v>
      </c>
      <c r="B61" s="2">
        <v>25</v>
      </c>
      <c r="C61" s="2">
        <v>0.17100000000000001</v>
      </c>
      <c r="D61" s="2" t="s">
        <v>81</v>
      </c>
      <c r="E61" s="2">
        <f t="shared" si="6"/>
        <v>4.2750000000000004</v>
      </c>
    </row>
    <row r="62" spans="1:5" x14ac:dyDescent="0.25">
      <c r="A62" s="1" t="s">
        <v>137</v>
      </c>
      <c r="B62" s="2">
        <v>500</v>
      </c>
      <c r="C62" s="2">
        <v>1.4449999999999999E-2</v>
      </c>
      <c r="D62" s="2" t="s">
        <v>81</v>
      </c>
      <c r="E62" s="2">
        <f t="shared" si="6"/>
        <v>7.2249999999999996</v>
      </c>
    </row>
    <row r="63" spans="1:5" x14ac:dyDescent="0.25">
      <c r="A63" s="1" t="s">
        <v>138</v>
      </c>
      <c r="B63" s="2">
        <v>200</v>
      </c>
      <c r="C63" s="2">
        <v>5.3699999999999998E-2</v>
      </c>
      <c r="D63" s="2" t="s">
        <v>81</v>
      </c>
      <c r="E63" s="2">
        <f>B63*C63</f>
        <v>10.74</v>
      </c>
    </row>
    <row r="64" spans="1:5" x14ac:dyDescent="0.25">
      <c r="A64" s="1" t="s">
        <v>139</v>
      </c>
      <c r="B64" s="2">
        <v>90</v>
      </c>
      <c r="C64" s="2">
        <v>0.1764</v>
      </c>
      <c r="D64" s="2" t="s">
        <v>81</v>
      </c>
      <c r="E64" s="2">
        <f>B64*C64</f>
        <v>15.875999999999999</v>
      </c>
    </row>
    <row r="65" spans="1:5" x14ac:dyDescent="0.25">
      <c r="A65" s="1" t="s">
        <v>45</v>
      </c>
      <c r="B65" s="2">
        <v>40</v>
      </c>
      <c r="C65" s="2">
        <v>4.7300000000000004</v>
      </c>
      <c r="D65" s="2" t="s">
        <v>121</v>
      </c>
      <c r="E65" s="2">
        <f>B65*C65/100</f>
        <v>1.8920000000000001</v>
      </c>
    </row>
    <row r="66" spans="1:5" x14ac:dyDescent="0.25">
      <c r="A66" s="1" t="s">
        <v>40</v>
      </c>
      <c r="B66" s="2">
        <v>5</v>
      </c>
      <c r="C66" s="2">
        <v>5.056</v>
      </c>
      <c r="D66" s="2" t="s">
        <v>83</v>
      </c>
      <c r="E66" s="2">
        <v>25.28</v>
      </c>
    </row>
    <row r="67" spans="1:5" x14ac:dyDescent="0.25">
      <c r="A67" s="1" t="s">
        <v>41</v>
      </c>
      <c r="B67" s="2">
        <v>1</v>
      </c>
      <c r="C67" s="2">
        <v>1.6739999999999999</v>
      </c>
      <c r="D67" s="2" t="s">
        <v>83</v>
      </c>
      <c r="E67" s="2">
        <v>1.6739999999999999</v>
      </c>
    </row>
    <row r="68" spans="1:5" x14ac:dyDescent="0.25">
      <c r="A68" s="1" t="s">
        <v>42</v>
      </c>
      <c r="B68" s="2">
        <v>50</v>
      </c>
      <c r="C68" s="2">
        <v>0.1764</v>
      </c>
      <c r="D68" s="2" t="s">
        <v>81</v>
      </c>
      <c r="E68" s="2">
        <f>B68*C68</f>
        <v>8.82</v>
      </c>
    </row>
    <row r="69" spans="1:5" x14ac:dyDescent="0.25">
      <c r="A69" s="1" t="s">
        <v>143</v>
      </c>
      <c r="B69" s="2">
        <v>50</v>
      </c>
      <c r="C69" s="2">
        <v>0.19620000000000001</v>
      </c>
      <c r="D69" s="2" t="s">
        <v>81</v>
      </c>
      <c r="E69" s="2">
        <f>B69*C69</f>
        <v>9.81</v>
      </c>
    </row>
    <row r="70" spans="1:5" x14ac:dyDescent="0.25">
      <c r="A70" s="1" t="s">
        <v>43</v>
      </c>
      <c r="B70" s="2">
        <v>15</v>
      </c>
      <c r="C70" s="2">
        <v>0.30580000000000002</v>
      </c>
      <c r="D70" s="2" t="s">
        <v>81</v>
      </c>
      <c r="E70" s="2">
        <f>B70*C70</f>
        <v>4.5870000000000006</v>
      </c>
    </row>
    <row r="71" spans="1:5" x14ac:dyDescent="0.25">
      <c r="A71" s="1" t="s">
        <v>46</v>
      </c>
      <c r="B71" s="2">
        <v>10</v>
      </c>
      <c r="C71" s="2">
        <v>204.36</v>
      </c>
      <c r="D71" s="2" t="s">
        <v>121</v>
      </c>
      <c r="E71" s="2">
        <f>B71*C71/100</f>
        <v>20.436</v>
      </c>
    </row>
    <row r="72" spans="1:5" x14ac:dyDescent="0.25">
      <c r="A72" s="1" t="s">
        <v>51</v>
      </c>
      <c r="B72" s="2">
        <v>100</v>
      </c>
      <c r="C72" s="2">
        <v>4.0399999999999998E-2</v>
      </c>
      <c r="D72" s="2" t="s">
        <v>121</v>
      </c>
      <c r="E72" s="2">
        <f>B72*C72</f>
        <v>4.04</v>
      </c>
    </row>
    <row r="73" spans="1:5" x14ac:dyDescent="0.25">
      <c r="A73" s="1" t="s">
        <v>50</v>
      </c>
      <c r="B73" s="2">
        <v>200</v>
      </c>
      <c r="C73" s="2">
        <v>4.6900000000000004</v>
      </c>
      <c r="D73" s="2" t="s">
        <v>121</v>
      </c>
      <c r="E73" s="2">
        <f>B73*C73/100</f>
        <v>9.3800000000000008</v>
      </c>
    </row>
    <row r="74" spans="1:5" x14ac:dyDescent="0.25">
      <c r="A74" s="1" t="s">
        <v>140</v>
      </c>
      <c r="B74" s="2">
        <v>250</v>
      </c>
      <c r="C74" s="2">
        <v>7.44</v>
      </c>
      <c r="D74" s="2" t="s">
        <v>121</v>
      </c>
      <c r="E74" s="2">
        <f>B74*C74/100</f>
        <v>18.600000000000001</v>
      </c>
    </row>
    <row r="75" spans="1:5" x14ac:dyDescent="0.25">
      <c r="A75" s="1" t="s">
        <v>48</v>
      </c>
      <c r="B75" s="2">
        <v>100</v>
      </c>
      <c r="C75" s="2">
        <v>0.14000000000000001</v>
      </c>
      <c r="D75" s="2" t="s">
        <v>81</v>
      </c>
      <c r="E75" s="2">
        <f>B75*C75</f>
        <v>14.000000000000002</v>
      </c>
    </row>
    <row r="76" spans="1:5" x14ac:dyDescent="0.25">
      <c r="A76" s="1" t="s">
        <v>49</v>
      </c>
      <c r="B76" s="2">
        <v>121</v>
      </c>
      <c r="C76" s="2">
        <v>3.1E-2</v>
      </c>
      <c r="D76" s="2" t="s">
        <v>81</v>
      </c>
      <c r="E76" s="2">
        <f>B76*C76</f>
        <v>3.7509999999999999</v>
      </c>
    </row>
    <row r="77" spans="1:5" x14ac:dyDescent="0.25">
      <c r="A77" s="1" t="s">
        <v>239</v>
      </c>
      <c r="B77" s="2">
        <v>23</v>
      </c>
      <c r="C77" s="2">
        <v>0.38</v>
      </c>
      <c r="D77" s="2" t="s">
        <v>81</v>
      </c>
      <c r="E77" s="2">
        <f>B77*C77</f>
        <v>8.74</v>
      </c>
    </row>
    <row r="78" spans="1:5" x14ac:dyDescent="0.25">
      <c r="A78" s="1" t="s">
        <v>53</v>
      </c>
      <c r="B78" s="2">
        <v>5.5</v>
      </c>
      <c r="C78" s="2">
        <v>1.4</v>
      </c>
      <c r="D78" s="2" t="s">
        <v>84</v>
      </c>
      <c r="E78" s="2">
        <f>B78*C78</f>
        <v>7.6999999999999993</v>
      </c>
    </row>
    <row r="79" spans="1:5" x14ac:dyDescent="0.25">
      <c r="A79" s="1"/>
      <c r="B79" s="1"/>
      <c r="C79" s="1"/>
      <c r="D79" s="1"/>
      <c r="E79" s="1">
        <f>SUM(E3:E78)</f>
        <v>1107.044226</v>
      </c>
    </row>
    <row r="82" spans="1:5" ht="26.25" x14ac:dyDescent="0.25">
      <c r="A82" s="29" t="s">
        <v>54</v>
      </c>
      <c r="B82" s="30"/>
      <c r="C82" s="30"/>
      <c r="D82" s="30"/>
      <c r="E82" s="31"/>
    </row>
    <row r="83" spans="1:5" x14ac:dyDescent="0.25">
      <c r="A83" s="2" t="s">
        <v>0</v>
      </c>
      <c r="B83" s="2" t="s">
        <v>3</v>
      </c>
      <c r="C83" s="2" t="s">
        <v>56</v>
      </c>
      <c r="D83" s="2" t="s">
        <v>81</v>
      </c>
      <c r="E83" s="2" t="s">
        <v>1</v>
      </c>
    </row>
    <row r="84" spans="1:5" x14ac:dyDescent="0.25">
      <c r="A84" s="1" t="s">
        <v>102</v>
      </c>
      <c r="B84" s="2">
        <v>3</v>
      </c>
      <c r="C84" s="2">
        <v>2.92</v>
      </c>
      <c r="D84" s="2" t="s">
        <v>82</v>
      </c>
      <c r="E84" s="2">
        <f>B84*C84</f>
        <v>8.76</v>
      </c>
    </row>
    <row r="85" spans="1:5" x14ac:dyDescent="0.25">
      <c r="A85" s="1" t="s">
        <v>103</v>
      </c>
      <c r="B85" s="2">
        <v>16</v>
      </c>
      <c r="C85" s="2">
        <v>2.76</v>
      </c>
      <c r="D85" s="2" t="s">
        <v>82</v>
      </c>
      <c r="E85" s="2">
        <f t="shared" ref="E85:E104" si="7">B85*C85</f>
        <v>44.16</v>
      </c>
    </row>
    <row r="86" spans="1:5" x14ac:dyDescent="0.25">
      <c r="A86" s="1" t="s">
        <v>104</v>
      </c>
      <c r="B86" s="2">
        <v>0</v>
      </c>
      <c r="C86" s="2">
        <v>2.64</v>
      </c>
      <c r="D86" s="2" t="s">
        <v>82</v>
      </c>
      <c r="E86" s="2">
        <f t="shared" si="7"/>
        <v>0</v>
      </c>
    </row>
    <row r="87" spans="1:5" x14ac:dyDescent="0.25">
      <c r="A87" s="1" t="s">
        <v>105</v>
      </c>
      <c r="B87" s="2">
        <v>5</v>
      </c>
      <c r="C87" s="2">
        <v>2.64</v>
      </c>
      <c r="D87" s="2" t="s">
        <v>82</v>
      </c>
      <c r="E87" s="2">
        <f t="shared" si="7"/>
        <v>13.200000000000001</v>
      </c>
    </row>
    <row r="88" spans="1:5" x14ac:dyDescent="0.25">
      <c r="A88" s="1" t="s">
        <v>106</v>
      </c>
      <c r="B88" s="2">
        <v>2</v>
      </c>
      <c r="C88" s="2">
        <v>15</v>
      </c>
      <c r="D88" s="2" t="s">
        <v>82</v>
      </c>
      <c r="E88" s="2">
        <f t="shared" si="7"/>
        <v>30</v>
      </c>
    </row>
    <row r="89" spans="1:5" x14ac:dyDescent="0.25">
      <c r="A89" s="1" t="s">
        <v>107</v>
      </c>
      <c r="B89" s="2">
        <v>3</v>
      </c>
      <c r="C89" s="2">
        <v>15</v>
      </c>
      <c r="D89" s="2" t="s">
        <v>82</v>
      </c>
      <c r="E89" s="2">
        <f t="shared" si="7"/>
        <v>45</v>
      </c>
    </row>
    <row r="90" spans="1:5" x14ac:dyDescent="0.25">
      <c r="A90" s="1" t="s">
        <v>108</v>
      </c>
      <c r="B90" s="2">
        <v>4</v>
      </c>
      <c r="C90" s="2">
        <v>15</v>
      </c>
      <c r="D90" s="2" t="s">
        <v>82</v>
      </c>
      <c r="E90" s="2">
        <f t="shared" si="7"/>
        <v>60</v>
      </c>
    </row>
    <row r="91" spans="1:5" x14ac:dyDescent="0.25">
      <c r="A91" s="1" t="s">
        <v>147</v>
      </c>
      <c r="B91" s="2">
        <v>1</v>
      </c>
      <c r="C91" s="2">
        <v>15</v>
      </c>
      <c r="D91" s="2" t="s">
        <v>82</v>
      </c>
      <c r="E91" s="2">
        <f t="shared" si="7"/>
        <v>15</v>
      </c>
    </row>
    <row r="92" spans="1:5" x14ac:dyDescent="0.25">
      <c r="A92" s="1" t="s">
        <v>59</v>
      </c>
      <c r="B92" s="2">
        <v>10</v>
      </c>
      <c r="C92" s="2">
        <v>4</v>
      </c>
      <c r="D92" s="2" t="s">
        <v>82</v>
      </c>
      <c r="E92" s="2">
        <f t="shared" si="7"/>
        <v>40</v>
      </c>
    </row>
    <row r="93" spans="1:5" x14ac:dyDescent="0.25">
      <c r="A93" s="1" t="s">
        <v>60</v>
      </c>
      <c r="B93" s="2">
        <v>10</v>
      </c>
      <c r="C93" s="2">
        <v>4</v>
      </c>
      <c r="D93" s="2" t="s">
        <v>82</v>
      </c>
      <c r="E93" s="2">
        <f t="shared" si="7"/>
        <v>40</v>
      </c>
    </row>
    <row r="94" spans="1:5" x14ac:dyDescent="0.25">
      <c r="A94" s="1" t="s">
        <v>61</v>
      </c>
      <c r="B94" s="2">
        <v>3</v>
      </c>
      <c r="C94" s="2">
        <v>2</v>
      </c>
      <c r="D94" s="2" t="s">
        <v>82</v>
      </c>
      <c r="E94" s="2">
        <f t="shared" si="7"/>
        <v>6</v>
      </c>
    </row>
    <row r="95" spans="1:5" x14ac:dyDescent="0.25">
      <c r="A95" s="1" t="s">
        <v>57</v>
      </c>
      <c r="B95" s="2">
        <v>2</v>
      </c>
      <c r="C95" s="2">
        <v>4.92</v>
      </c>
      <c r="D95" s="2" t="s">
        <v>82</v>
      </c>
      <c r="E95" s="2">
        <f t="shared" si="7"/>
        <v>9.84</v>
      </c>
    </row>
    <row r="96" spans="1:5" x14ac:dyDescent="0.25">
      <c r="A96" s="1" t="s">
        <v>58</v>
      </c>
      <c r="B96" s="2">
        <v>90</v>
      </c>
      <c r="C96" s="2">
        <v>8.5400000000000004E-2</v>
      </c>
      <c r="D96" s="2" t="s">
        <v>82</v>
      </c>
      <c r="E96" s="2">
        <f t="shared" si="7"/>
        <v>7.6859999999999999</v>
      </c>
    </row>
    <row r="97" spans="1:5" x14ac:dyDescent="0.25">
      <c r="A97" s="1" t="s">
        <v>144</v>
      </c>
      <c r="B97" s="2">
        <v>1</v>
      </c>
      <c r="C97" s="2">
        <v>1.9419999999999999</v>
      </c>
      <c r="D97" s="2" t="s">
        <v>85</v>
      </c>
      <c r="E97" s="2">
        <f t="shared" si="7"/>
        <v>1.9419999999999999</v>
      </c>
    </row>
    <row r="98" spans="1:5" x14ac:dyDescent="0.25">
      <c r="A98" s="1" t="s">
        <v>145</v>
      </c>
      <c r="B98" s="2">
        <v>4.5</v>
      </c>
      <c r="C98" s="2">
        <v>2.92</v>
      </c>
      <c r="D98" s="2" t="s">
        <v>85</v>
      </c>
      <c r="E98" s="2">
        <f t="shared" si="7"/>
        <v>13.14</v>
      </c>
    </row>
    <row r="99" spans="1:5" x14ac:dyDescent="0.25">
      <c r="A99" s="1" t="s">
        <v>146</v>
      </c>
      <c r="B99" s="2">
        <v>2</v>
      </c>
      <c r="C99" s="2">
        <v>3.72</v>
      </c>
      <c r="D99" s="2" t="s">
        <v>85</v>
      </c>
      <c r="E99" s="2">
        <f t="shared" si="7"/>
        <v>7.44</v>
      </c>
    </row>
    <row r="100" spans="1:5" x14ac:dyDescent="0.25">
      <c r="A100" s="1" t="s">
        <v>68</v>
      </c>
      <c r="B100" s="2">
        <v>1</v>
      </c>
      <c r="C100" s="2">
        <v>4.76</v>
      </c>
      <c r="D100" s="2" t="s">
        <v>86</v>
      </c>
      <c r="E100" s="2">
        <f t="shared" si="7"/>
        <v>4.76</v>
      </c>
    </row>
    <row r="101" spans="1:5" x14ac:dyDescent="0.25">
      <c r="A101" s="1" t="s">
        <v>70</v>
      </c>
      <c r="B101" s="2">
        <v>1</v>
      </c>
      <c r="C101" s="2">
        <v>5.57</v>
      </c>
      <c r="D101" s="2" t="s">
        <v>82</v>
      </c>
      <c r="E101" s="2">
        <f t="shared" si="7"/>
        <v>5.57</v>
      </c>
    </row>
    <row r="102" spans="1:5" x14ac:dyDescent="0.25">
      <c r="A102" s="1" t="s">
        <v>71</v>
      </c>
      <c r="B102" s="2">
        <v>1</v>
      </c>
      <c r="C102" s="2">
        <v>5.57</v>
      </c>
      <c r="D102" s="2" t="s">
        <v>82</v>
      </c>
      <c r="E102" s="2">
        <f t="shared" si="7"/>
        <v>5.57</v>
      </c>
    </row>
    <row r="103" spans="1:5" x14ac:dyDescent="0.25">
      <c r="A103" s="1" t="s">
        <v>72</v>
      </c>
      <c r="B103" s="2">
        <v>1</v>
      </c>
      <c r="C103" s="2">
        <v>5.57</v>
      </c>
      <c r="D103" s="2" t="s">
        <v>82</v>
      </c>
      <c r="E103" s="2">
        <f t="shared" si="7"/>
        <v>5.57</v>
      </c>
    </row>
    <row r="104" spans="1:5" x14ac:dyDescent="0.25">
      <c r="A104" s="1" t="s">
        <v>73</v>
      </c>
      <c r="B104" s="2">
        <v>1</v>
      </c>
      <c r="C104" s="2">
        <v>5.57</v>
      </c>
      <c r="D104" s="2" t="s">
        <v>82</v>
      </c>
      <c r="E104" s="2">
        <f t="shared" si="7"/>
        <v>5.57</v>
      </c>
    </row>
    <row r="105" spans="1:5" x14ac:dyDescent="0.25">
      <c r="A105" s="5" t="s">
        <v>75</v>
      </c>
      <c r="B105" s="10">
        <v>409</v>
      </c>
      <c r="C105" s="6">
        <v>46.48</v>
      </c>
      <c r="D105" s="6" t="s">
        <v>152</v>
      </c>
      <c r="E105" s="6">
        <f>B105*C105/1000</f>
        <v>19.01032</v>
      </c>
    </row>
    <row r="106" spans="1:5" x14ac:dyDescent="0.25">
      <c r="A106" s="5" t="s">
        <v>148</v>
      </c>
      <c r="B106" s="2">
        <v>1000</v>
      </c>
      <c r="C106" s="2">
        <v>39.700000000000003</v>
      </c>
      <c r="D106" s="6" t="s">
        <v>152</v>
      </c>
      <c r="E106" s="6">
        <f>B106*C106/1000</f>
        <v>39.700000000000003</v>
      </c>
    </row>
    <row r="107" spans="1:5" x14ac:dyDescent="0.25">
      <c r="A107" s="5" t="s">
        <v>149</v>
      </c>
      <c r="B107" s="2">
        <v>1000</v>
      </c>
      <c r="C107" s="2">
        <v>37.659999999999997</v>
      </c>
      <c r="D107" s="6" t="s">
        <v>152</v>
      </c>
      <c r="E107" s="6">
        <f t="shared" ref="E107:E109" si="8">B107*C107/1000</f>
        <v>37.659999999999997</v>
      </c>
    </row>
    <row r="108" spans="1:5" x14ac:dyDescent="0.25">
      <c r="A108" s="5" t="s">
        <v>150</v>
      </c>
      <c r="B108" s="2">
        <v>1000</v>
      </c>
      <c r="C108" s="2">
        <v>36.56</v>
      </c>
      <c r="D108" s="6" t="s">
        <v>152</v>
      </c>
      <c r="E108" s="6">
        <f t="shared" si="8"/>
        <v>36.56</v>
      </c>
    </row>
    <row r="109" spans="1:5" x14ac:dyDescent="0.25">
      <c r="A109" s="1" t="s">
        <v>76</v>
      </c>
      <c r="B109" s="2">
        <v>315</v>
      </c>
      <c r="C109" s="2">
        <v>35.46</v>
      </c>
      <c r="D109" s="6" t="s">
        <v>152</v>
      </c>
      <c r="E109" s="6">
        <f t="shared" si="8"/>
        <v>11.1699</v>
      </c>
    </row>
    <row r="110" spans="1:5" x14ac:dyDescent="0.25">
      <c r="A110" s="1" t="s">
        <v>151</v>
      </c>
      <c r="B110" s="2">
        <v>1</v>
      </c>
      <c r="C110" s="2">
        <v>28.36</v>
      </c>
      <c r="D110" s="2" t="s">
        <v>81</v>
      </c>
      <c r="E110" s="6">
        <f>B110*C110</f>
        <v>28.36</v>
      </c>
    </row>
    <row r="111" spans="1:5" x14ac:dyDescent="0.25">
      <c r="A111" s="1" t="s">
        <v>153</v>
      </c>
      <c r="B111" s="2">
        <v>3</v>
      </c>
      <c r="C111" s="2">
        <v>6.29</v>
      </c>
      <c r="D111" s="2" t="s">
        <v>81</v>
      </c>
      <c r="E111" s="6">
        <f t="shared" ref="E111:E116" si="9">B111*C111</f>
        <v>18.87</v>
      </c>
    </row>
    <row r="112" spans="1:5" x14ac:dyDescent="0.25">
      <c r="A112" s="1" t="s">
        <v>154</v>
      </c>
      <c r="B112" s="2">
        <v>4</v>
      </c>
      <c r="C112" s="2">
        <v>14.79</v>
      </c>
      <c r="D112" s="2" t="s">
        <v>81</v>
      </c>
      <c r="E112" s="6">
        <f t="shared" si="9"/>
        <v>59.16</v>
      </c>
    </row>
    <row r="113" spans="1:5" x14ac:dyDescent="0.25">
      <c r="A113" s="1" t="s">
        <v>155</v>
      </c>
      <c r="B113" s="2">
        <v>25</v>
      </c>
      <c r="C113" s="2">
        <v>1.17</v>
      </c>
      <c r="D113" s="2" t="s">
        <v>81</v>
      </c>
      <c r="E113" s="6">
        <f t="shared" si="9"/>
        <v>29.25</v>
      </c>
    </row>
    <row r="114" spans="1:5" x14ac:dyDescent="0.25">
      <c r="A114" s="1" t="s">
        <v>156</v>
      </c>
      <c r="B114" s="2">
        <v>25</v>
      </c>
      <c r="C114" s="2">
        <v>0.45</v>
      </c>
      <c r="D114" s="2" t="s">
        <v>81</v>
      </c>
      <c r="E114" s="6">
        <f t="shared" si="9"/>
        <v>11.25</v>
      </c>
    </row>
    <row r="115" spans="1:5" x14ac:dyDescent="0.25">
      <c r="A115" s="1" t="s">
        <v>157</v>
      </c>
      <c r="B115" s="2">
        <v>0.6</v>
      </c>
      <c r="C115" s="2">
        <v>14</v>
      </c>
      <c r="D115" s="2" t="s">
        <v>81</v>
      </c>
      <c r="E115" s="6">
        <f t="shared" si="9"/>
        <v>8.4</v>
      </c>
    </row>
    <row r="116" spans="1:5" x14ac:dyDescent="0.25">
      <c r="A116" s="1" t="s">
        <v>158</v>
      </c>
      <c r="B116" s="2">
        <v>0.21</v>
      </c>
      <c r="C116" s="2">
        <v>20</v>
      </c>
      <c r="D116" s="2" t="s">
        <v>81</v>
      </c>
      <c r="E116" s="2">
        <f t="shared" si="9"/>
        <v>4.2</v>
      </c>
    </row>
    <row r="117" spans="1:5" x14ac:dyDescent="0.25">
      <c r="A117" s="1"/>
      <c r="B117" s="2"/>
      <c r="C117" s="2"/>
      <c r="D117" s="2"/>
      <c r="E117" s="2">
        <f>SUM(E84:E116)</f>
        <v>672.7982199999999</v>
      </c>
    </row>
    <row r="120" spans="1:5" ht="26.25" x14ac:dyDescent="0.25">
      <c r="A120" s="29" t="s">
        <v>55</v>
      </c>
      <c r="B120" s="30"/>
      <c r="C120" s="30"/>
      <c r="D120" s="30"/>
      <c r="E120" s="31"/>
    </row>
    <row r="121" spans="1:5" x14ac:dyDescent="0.25">
      <c r="A121" s="2" t="s">
        <v>0</v>
      </c>
      <c r="B121" s="2" t="s">
        <v>3</v>
      </c>
      <c r="C121" s="2" t="s">
        <v>56</v>
      </c>
      <c r="D121" s="2" t="s">
        <v>81</v>
      </c>
      <c r="E121" s="2" t="s">
        <v>1</v>
      </c>
    </row>
    <row r="122" spans="1:5" x14ac:dyDescent="0.25">
      <c r="A122" s="1" t="s">
        <v>62</v>
      </c>
      <c r="B122" s="2">
        <v>8</v>
      </c>
      <c r="C122" s="2">
        <v>8.76</v>
      </c>
      <c r="D122" s="2" t="s">
        <v>87</v>
      </c>
      <c r="E122" s="2">
        <f t="shared" ref="E122:E140" si="10">B122*C122</f>
        <v>70.08</v>
      </c>
    </row>
    <row r="123" spans="1:5" x14ac:dyDescent="0.25">
      <c r="A123" s="1" t="s">
        <v>159</v>
      </c>
      <c r="B123" s="2">
        <v>6</v>
      </c>
      <c r="C123" s="2">
        <v>6.93</v>
      </c>
      <c r="D123" s="2" t="s">
        <v>87</v>
      </c>
      <c r="E123" s="2">
        <f t="shared" si="10"/>
        <v>41.58</v>
      </c>
    </row>
    <row r="124" spans="1:5" x14ac:dyDescent="0.25">
      <c r="A124" s="1" t="s">
        <v>64</v>
      </c>
      <c r="B124" s="2">
        <v>11</v>
      </c>
      <c r="C124" s="2">
        <v>3.34</v>
      </c>
      <c r="D124" s="2" t="s">
        <v>87</v>
      </c>
      <c r="E124" s="2">
        <f t="shared" si="10"/>
        <v>36.739999999999995</v>
      </c>
    </row>
    <row r="125" spans="1:5" x14ac:dyDescent="0.25">
      <c r="A125" s="1" t="s">
        <v>161</v>
      </c>
      <c r="B125" s="2">
        <v>11</v>
      </c>
      <c r="C125" s="2">
        <v>1.07</v>
      </c>
      <c r="D125" s="2" t="s">
        <v>87</v>
      </c>
      <c r="E125" s="2">
        <f t="shared" si="10"/>
        <v>11.770000000000001</v>
      </c>
    </row>
    <row r="126" spans="1:5" x14ac:dyDescent="0.25">
      <c r="A126" s="1" t="s">
        <v>162</v>
      </c>
      <c r="B126" s="2">
        <v>1</v>
      </c>
      <c r="C126" s="2">
        <v>9.5500000000000007</v>
      </c>
      <c r="D126" s="2" t="s">
        <v>87</v>
      </c>
      <c r="E126" s="2">
        <f t="shared" si="10"/>
        <v>9.5500000000000007</v>
      </c>
    </row>
    <row r="127" spans="1:5" x14ac:dyDescent="0.25">
      <c r="A127" s="1" t="s">
        <v>94</v>
      </c>
      <c r="B127" s="2">
        <v>1</v>
      </c>
      <c r="C127" s="2">
        <v>14.92</v>
      </c>
      <c r="D127" s="2" t="s">
        <v>86</v>
      </c>
      <c r="E127" s="2">
        <f>B127*C127</f>
        <v>14.92</v>
      </c>
    </row>
    <row r="128" spans="1:5" x14ac:dyDescent="0.25">
      <c r="A128" s="1" t="s">
        <v>160</v>
      </c>
      <c r="B128" s="2">
        <v>1</v>
      </c>
      <c r="C128" s="2">
        <v>9.9</v>
      </c>
      <c r="D128" s="2" t="s">
        <v>86</v>
      </c>
      <c r="E128" s="2">
        <f>B128*C128</f>
        <v>9.9</v>
      </c>
    </row>
    <row r="129" spans="1:5" x14ac:dyDescent="0.25">
      <c r="A129" s="1" t="s">
        <v>95</v>
      </c>
      <c r="B129" s="2">
        <v>1</v>
      </c>
      <c r="C129" s="2">
        <v>18.84</v>
      </c>
      <c r="D129" s="2" t="s">
        <v>96</v>
      </c>
      <c r="E129" s="2">
        <f t="shared" si="10"/>
        <v>18.84</v>
      </c>
    </row>
    <row r="130" spans="1:5" x14ac:dyDescent="0.25">
      <c r="A130" s="1" t="s">
        <v>97</v>
      </c>
      <c r="B130" s="2">
        <v>1</v>
      </c>
      <c r="C130" s="2">
        <v>18.84</v>
      </c>
      <c r="D130" s="2" t="s">
        <v>96</v>
      </c>
      <c r="E130" s="2">
        <f t="shared" si="10"/>
        <v>18.84</v>
      </c>
    </row>
    <row r="131" spans="1:5" x14ac:dyDescent="0.25">
      <c r="A131" s="1" t="s">
        <v>98</v>
      </c>
      <c r="B131" s="2">
        <v>5</v>
      </c>
      <c r="C131" s="2">
        <v>15.69</v>
      </c>
      <c r="D131" s="2" t="s">
        <v>96</v>
      </c>
      <c r="E131" s="2">
        <f t="shared" si="10"/>
        <v>78.45</v>
      </c>
    </row>
    <row r="132" spans="1:5" x14ac:dyDescent="0.25">
      <c r="A132" s="1" t="s">
        <v>99</v>
      </c>
      <c r="B132" s="2">
        <v>5</v>
      </c>
      <c r="C132" s="2">
        <v>3.78</v>
      </c>
      <c r="D132" s="2" t="s">
        <v>96</v>
      </c>
      <c r="E132" s="2">
        <f t="shared" si="10"/>
        <v>18.899999999999999</v>
      </c>
    </row>
    <row r="133" spans="1:5" x14ac:dyDescent="0.25">
      <c r="A133" s="1" t="s">
        <v>163</v>
      </c>
      <c r="B133" s="2">
        <v>10</v>
      </c>
      <c r="C133" s="2">
        <v>7.1</v>
      </c>
      <c r="D133" s="2" t="s">
        <v>96</v>
      </c>
      <c r="E133" s="2">
        <f t="shared" si="10"/>
        <v>71</v>
      </c>
    </row>
    <row r="134" spans="1:5" x14ac:dyDescent="0.25">
      <c r="A134" s="1" t="s">
        <v>164</v>
      </c>
      <c r="B134" s="2">
        <v>2</v>
      </c>
      <c r="C134" s="2">
        <v>14.55</v>
      </c>
      <c r="D134" s="2" t="s">
        <v>96</v>
      </c>
      <c r="E134" s="2">
        <f t="shared" si="10"/>
        <v>29.1</v>
      </c>
    </row>
    <row r="135" spans="1:5" x14ac:dyDescent="0.25">
      <c r="A135" s="1" t="s">
        <v>165</v>
      </c>
      <c r="B135" s="2">
        <v>2.5</v>
      </c>
      <c r="C135" s="2">
        <v>15.42</v>
      </c>
      <c r="D135" s="2" t="s">
        <v>96</v>
      </c>
      <c r="E135" s="2">
        <f t="shared" si="10"/>
        <v>38.549999999999997</v>
      </c>
    </row>
    <row r="136" spans="1:5" x14ac:dyDescent="0.25">
      <c r="A136" s="1" t="s">
        <v>166</v>
      </c>
      <c r="B136" s="2">
        <v>1</v>
      </c>
      <c r="C136" s="2"/>
      <c r="D136" s="2" t="s">
        <v>96</v>
      </c>
      <c r="E136" s="2">
        <f t="shared" si="10"/>
        <v>0</v>
      </c>
    </row>
    <row r="137" spans="1:5" x14ac:dyDescent="0.25">
      <c r="A137" s="1" t="s">
        <v>167</v>
      </c>
      <c r="B137" s="2">
        <v>2.25</v>
      </c>
      <c r="C137" s="2">
        <v>7.13</v>
      </c>
      <c r="D137" s="2" t="s">
        <v>83</v>
      </c>
      <c r="E137" s="2">
        <f t="shared" si="10"/>
        <v>16.0425</v>
      </c>
    </row>
    <row r="138" spans="1:5" x14ac:dyDescent="0.25">
      <c r="A138" s="1" t="s">
        <v>168</v>
      </c>
      <c r="B138" s="2">
        <v>4</v>
      </c>
      <c r="C138" s="2">
        <v>5.24</v>
      </c>
      <c r="D138" s="2" t="s">
        <v>83</v>
      </c>
      <c r="E138" s="2">
        <f t="shared" si="10"/>
        <v>20.96</v>
      </c>
    </row>
    <row r="139" spans="1:5" x14ac:dyDescent="0.25">
      <c r="A139" s="1" t="s">
        <v>169</v>
      </c>
      <c r="B139" s="2">
        <v>1</v>
      </c>
      <c r="C139" s="2">
        <v>20.11</v>
      </c>
      <c r="D139" s="2" t="s">
        <v>170</v>
      </c>
      <c r="E139" s="2">
        <f t="shared" si="10"/>
        <v>20.11</v>
      </c>
    </row>
    <row r="140" spans="1:5" x14ac:dyDescent="0.25">
      <c r="A140" s="1" t="s">
        <v>171</v>
      </c>
      <c r="B140" s="2">
        <v>1</v>
      </c>
      <c r="C140" s="2">
        <v>17.3</v>
      </c>
      <c r="D140" s="2" t="s">
        <v>86</v>
      </c>
      <c r="E140" s="2">
        <f t="shared" si="10"/>
        <v>17.3</v>
      </c>
    </row>
    <row r="141" spans="1:5" x14ac:dyDescent="0.25">
      <c r="A141" s="1"/>
      <c r="B141" s="1"/>
      <c r="C141" s="1"/>
      <c r="D141" s="1"/>
      <c r="E141" s="1">
        <f>SUM(E122:E140)</f>
        <v>542.63249999999994</v>
      </c>
    </row>
    <row r="144" spans="1:5" ht="26.25" x14ac:dyDescent="0.25">
      <c r="A144" s="29" t="s">
        <v>172</v>
      </c>
      <c r="B144" s="30"/>
      <c r="C144" s="30"/>
      <c r="D144" s="30"/>
      <c r="E144" s="31"/>
    </row>
    <row r="145" spans="1:5" x14ac:dyDescent="0.25">
      <c r="A145" s="2" t="s">
        <v>0</v>
      </c>
      <c r="B145" s="2" t="s">
        <v>3</v>
      </c>
      <c r="C145" s="2" t="s">
        <v>56</v>
      </c>
      <c r="D145" s="2" t="s">
        <v>81</v>
      </c>
      <c r="E145" s="2" t="s">
        <v>1</v>
      </c>
    </row>
    <row r="146" spans="1:5" x14ac:dyDescent="0.25">
      <c r="A146" s="1" t="s">
        <v>80</v>
      </c>
      <c r="B146" s="2">
        <v>5.7960000000000003</v>
      </c>
      <c r="C146" s="2">
        <v>6.44</v>
      </c>
      <c r="D146" s="2" t="s">
        <v>88</v>
      </c>
      <c r="E146" s="2">
        <f>B146*C146</f>
        <v>37.326240000000006</v>
      </c>
    </row>
    <row r="147" spans="1:5" x14ac:dyDescent="0.25">
      <c r="A147" s="1" t="s">
        <v>174</v>
      </c>
      <c r="B147" s="2">
        <v>5.7960000000000003</v>
      </c>
      <c r="C147" s="2">
        <v>9.42</v>
      </c>
      <c r="D147" s="2" t="s">
        <v>88</v>
      </c>
      <c r="E147" s="2">
        <f>B147*C147</f>
        <v>54.598320000000001</v>
      </c>
    </row>
    <row r="148" spans="1:5" x14ac:dyDescent="0.25">
      <c r="A148" s="1" t="s">
        <v>175</v>
      </c>
      <c r="B148" s="2">
        <v>17.388000000000002</v>
      </c>
      <c r="C148" s="2">
        <v>5.2</v>
      </c>
      <c r="D148" s="2" t="s">
        <v>88</v>
      </c>
      <c r="E148" s="2">
        <f t="shared" ref="E148" si="11">B148*C148</f>
        <v>90.417600000000007</v>
      </c>
    </row>
    <row r="149" spans="1:5" x14ac:dyDescent="0.25">
      <c r="A149" s="1" t="s">
        <v>176</v>
      </c>
      <c r="B149" s="2">
        <v>5.7960000000000003</v>
      </c>
      <c r="C149" s="2">
        <v>5.46</v>
      </c>
      <c r="D149" s="2" t="s">
        <v>88</v>
      </c>
      <c r="E149" s="2">
        <f>B149*C149</f>
        <v>31.646160000000002</v>
      </c>
    </row>
    <row r="150" spans="1:5" x14ac:dyDescent="0.25">
      <c r="A150" s="1" t="s">
        <v>177</v>
      </c>
      <c r="B150" s="2">
        <v>11.592000000000001</v>
      </c>
      <c r="C150" s="2">
        <v>5.35</v>
      </c>
      <c r="D150" s="2" t="s">
        <v>88</v>
      </c>
      <c r="E150" s="2">
        <f>B150*C150</f>
        <v>62.017199999999995</v>
      </c>
    </row>
    <row r="151" spans="1:5" x14ac:dyDescent="0.25">
      <c r="A151" s="1" t="s">
        <v>179</v>
      </c>
      <c r="B151" s="2">
        <v>5.7960000000000003</v>
      </c>
      <c r="C151" s="2">
        <v>12.45</v>
      </c>
      <c r="D151" s="2" t="s">
        <v>88</v>
      </c>
      <c r="E151" s="2">
        <f t="shared" ref="E151:E159" si="12">B151*C151</f>
        <v>72.160200000000003</v>
      </c>
    </row>
    <row r="152" spans="1:5" x14ac:dyDescent="0.25">
      <c r="A152" s="1" t="s">
        <v>178</v>
      </c>
      <c r="B152" s="2">
        <v>5.7960000000000003</v>
      </c>
      <c r="C152" s="2">
        <v>9.4</v>
      </c>
      <c r="D152" s="2" t="s">
        <v>88</v>
      </c>
      <c r="E152" s="2">
        <f>B152*C152</f>
        <v>54.482400000000005</v>
      </c>
    </row>
    <row r="153" spans="1:5" x14ac:dyDescent="0.25">
      <c r="A153" s="1" t="s">
        <v>186</v>
      </c>
      <c r="B153" s="2">
        <v>6.7960000000000003</v>
      </c>
      <c r="C153" s="2">
        <v>16.25</v>
      </c>
      <c r="D153" s="2" t="s">
        <v>88</v>
      </c>
      <c r="E153" s="2">
        <f>B153*C153</f>
        <v>110.435</v>
      </c>
    </row>
    <row r="154" spans="1:5" x14ac:dyDescent="0.25">
      <c r="A154" s="1" t="s">
        <v>180</v>
      </c>
      <c r="B154" s="2">
        <v>4.7430000000000003</v>
      </c>
      <c r="C154" s="2">
        <v>24.99</v>
      </c>
      <c r="D154" s="2" t="s">
        <v>88</v>
      </c>
      <c r="E154" s="2">
        <f>B154*C154</f>
        <v>118.52757</v>
      </c>
    </row>
    <row r="155" spans="1:5" x14ac:dyDescent="0.25">
      <c r="A155" s="1" t="s">
        <v>181</v>
      </c>
      <c r="B155" s="2">
        <v>7.4256000000000002</v>
      </c>
      <c r="C155" s="2">
        <v>5.65</v>
      </c>
      <c r="D155" s="2" t="s">
        <v>88</v>
      </c>
      <c r="E155" s="2">
        <f t="shared" si="12"/>
        <v>41.954640000000005</v>
      </c>
    </row>
    <row r="156" spans="1:5" x14ac:dyDescent="0.25">
      <c r="A156" s="1" t="s">
        <v>182</v>
      </c>
      <c r="B156" s="2">
        <v>1.5</v>
      </c>
      <c r="C156" s="2">
        <v>14.47</v>
      </c>
      <c r="D156" s="2" t="s">
        <v>88</v>
      </c>
      <c r="E156" s="2">
        <f t="shared" si="12"/>
        <v>21.705000000000002</v>
      </c>
    </row>
    <row r="157" spans="1:5" x14ac:dyDescent="0.25">
      <c r="A157" s="1" t="s">
        <v>183</v>
      </c>
      <c r="B157" s="2">
        <v>25</v>
      </c>
      <c r="C157" s="2">
        <v>0.71</v>
      </c>
      <c r="D157" s="2" t="s">
        <v>84</v>
      </c>
      <c r="E157" s="2">
        <f t="shared" si="12"/>
        <v>17.75</v>
      </c>
    </row>
    <row r="158" spans="1:5" x14ac:dyDescent="0.25">
      <c r="A158" s="1" t="s">
        <v>184</v>
      </c>
      <c r="B158" s="2">
        <v>30</v>
      </c>
      <c r="C158" s="2">
        <v>0.59</v>
      </c>
      <c r="D158" s="2" t="s">
        <v>84</v>
      </c>
      <c r="E158" s="2">
        <f t="shared" si="12"/>
        <v>17.7</v>
      </c>
    </row>
    <row r="159" spans="1:5" x14ac:dyDescent="0.25">
      <c r="A159" s="1" t="s">
        <v>185</v>
      </c>
      <c r="B159" s="2">
        <v>3</v>
      </c>
      <c r="C159" s="2">
        <v>0.56999999999999995</v>
      </c>
      <c r="D159" s="2" t="s">
        <v>84</v>
      </c>
      <c r="E159" s="2">
        <f t="shared" si="12"/>
        <v>1.71</v>
      </c>
    </row>
    <row r="160" spans="1:5" x14ac:dyDescent="0.25">
      <c r="A160" s="1" t="s">
        <v>89</v>
      </c>
      <c r="B160" s="2">
        <v>3.1920000000000002</v>
      </c>
      <c r="C160" s="2">
        <v>14.77</v>
      </c>
      <c r="D160" s="2" t="s">
        <v>88</v>
      </c>
      <c r="E160" s="2">
        <f>B160*C160</f>
        <v>47.14584</v>
      </c>
    </row>
    <row r="161" spans="1:5" x14ac:dyDescent="0.25">
      <c r="A161" s="1" t="s">
        <v>90</v>
      </c>
      <c r="B161" s="2">
        <v>1</v>
      </c>
      <c r="C161" s="2">
        <v>56.4</v>
      </c>
      <c r="D161" s="2" t="s">
        <v>91</v>
      </c>
      <c r="E161" s="2">
        <f>B161*C161</f>
        <v>56.4</v>
      </c>
    </row>
    <row r="162" spans="1:5" x14ac:dyDescent="0.25">
      <c r="A162" s="1"/>
      <c r="B162" s="1"/>
      <c r="C162" s="1"/>
      <c r="D162" s="1"/>
      <c r="E162" s="1">
        <f>SUM(E146:E161)</f>
        <v>835.97617000000014</v>
      </c>
    </row>
    <row r="165" spans="1:5" ht="26.25" x14ac:dyDescent="0.25">
      <c r="A165" s="29" t="s">
        <v>110</v>
      </c>
      <c r="B165" s="30"/>
      <c r="C165" s="30"/>
      <c r="D165" s="30"/>
      <c r="E165" s="31"/>
    </row>
    <row r="166" spans="1:5" x14ac:dyDescent="0.25">
      <c r="A166" s="2" t="s">
        <v>0</v>
      </c>
      <c r="B166" s="2" t="s">
        <v>3</v>
      </c>
      <c r="C166" s="2" t="s">
        <v>56</v>
      </c>
      <c r="D166" s="2" t="s">
        <v>81</v>
      </c>
      <c r="E166" s="2" t="s">
        <v>1</v>
      </c>
    </row>
    <row r="167" spans="1:5" x14ac:dyDescent="0.25">
      <c r="A167" s="1" t="s">
        <v>204</v>
      </c>
      <c r="B167" s="2">
        <v>3</v>
      </c>
      <c r="C167" s="2">
        <v>22.53</v>
      </c>
      <c r="D167" s="2" t="s">
        <v>203</v>
      </c>
      <c r="E167" s="2">
        <f t="shared" ref="E167:E231" si="13">B167*C167</f>
        <v>67.59</v>
      </c>
    </row>
    <row r="168" spans="1:5" x14ac:dyDescent="0.25">
      <c r="A168" s="1" t="s">
        <v>205</v>
      </c>
      <c r="B168" s="2">
        <v>3</v>
      </c>
      <c r="C168" s="2">
        <v>22.53</v>
      </c>
      <c r="D168" s="2" t="s">
        <v>203</v>
      </c>
      <c r="E168" s="2">
        <f t="shared" si="13"/>
        <v>67.59</v>
      </c>
    </row>
    <row r="169" spans="1:5" x14ac:dyDescent="0.25">
      <c r="A169" s="1" t="s">
        <v>206</v>
      </c>
      <c r="B169" s="2">
        <v>5</v>
      </c>
      <c r="C169" s="2">
        <v>23.85</v>
      </c>
      <c r="D169" s="2" t="s">
        <v>203</v>
      </c>
      <c r="E169" s="2">
        <f t="shared" si="13"/>
        <v>119.25</v>
      </c>
    </row>
    <row r="170" spans="1:5" x14ac:dyDescent="0.25">
      <c r="A170" s="1" t="s">
        <v>207</v>
      </c>
      <c r="B170" s="2">
        <v>1</v>
      </c>
      <c r="C170" s="2">
        <v>26.51</v>
      </c>
      <c r="D170" s="2" t="s">
        <v>203</v>
      </c>
      <c r="E170" s="2">
        <f t="shared" si="13"/>
        <v>26.51</v>
      </c>
    </row>
    <row r="171" spans="1:5" x14ac:dyDescent="0.25">
      <c r="A171" s="1" t="s">
        <v>208</v>
      </c>
      <c r="B171" s="2">
        <v>1</v>
      </c>
      <c r="C171" s="2">
        <v>22.27</v>
      </c>
      <c r="D171" s="2" t="s">
        <v>203</v>
      </c>
      <c r="E171" s="2">
        <f t="shared" si="13"/>
        <v>22.27</v>
      </c>
    </row>
    <row r="172" spans="1:5" x14ac:dyDescent="0.25">
      <c r="A172" s="1" t="s">
        <v>209</v>
      </c>
      <c r="B172" s="2">
        <v>4</v>
      </c>
      <c r="C172" s="2">
        <v>26.51</v>
      </c>
      <c r="D172" s="2" t="s">
        <v>203</v>
      </c>
      <c r="E172" s="2">
        <f t="shared" si="13"/>
        <v>106.04</v>
      </c>
    </row>
    <row r="173" spans="1:5" x14ac:dyDescent="0.25">
      <c r="A173" s="1" t="s">
        <v>210</v>
      </c>
      <c r="B173" s="2">
        <v>9</v>
      </c>
      <c r="C173" s="2">
        <v>1.19</v>
      </c>
      <c r="D173" s="2" t="s">
        <v>81</v>
      </c>
      <c r="E173" s="2">
        <f t="shared" si="13"/>
        <v>10.709999999999999</v>
      </c>
    </row>
    <row r="174" spans="1:5" x14ac:dyDescent="0.25">
      <c r="A174" s="1" t="s">
        <v>211</v>
      </c>
      <c r="B174" s="2">
        <v>9</v>
      </c>
      <c r="C174" s="2">
        <v>1.19</v>
      </c>
      <c r="D174" s="2" t="s">
        <v>81</v>
      </c>
      <c r="E174" s="2">
        <f t="shared" si="13"/>
        <v>10.709999999999999</v>
      </c>
    </row>
    <row r="175" spans="1:5" x14ac:dyDescent="0.25">
      <c r="A175" s="1" t="s">
        <v>212</v>
      </c>
      <c r="B175" s="2">
        <v>4</v>
      </c>
      <c r="C175" s="2">
        <v>0.77</v>
      </c>
      <c r="D175" s="2" t="s">
        <v>81</v>
      </c>
      <c r="E175" s="2">
        <f t="shared" si="13"/>
        <v>3.08</v>
      </c>
    </row>
    <row r="176" spans="1:5" x14ac:dyDescent="0.25">
      <c r="A176" s="1" t="s">
        <v>213</v>
      </c>
      <c r="B176" s="2">
        <v>4</v>
      </c>
      <c r="C176" s="2">
        <v>0.77</v>
      </c>
      <c r="D176" s="2" t="s">
        <v>81</v>
      </c>
      <c r="E176" s="2">
        <f t="shared" si="13"/>
        <v>3.08</v>
      </c>
    </row>
    <row r="177" spans="1:5" x14ac:dyDescent="0.25">
      <c r="A177" s="1" t="s">
        <v>227</v>
      </c>
      <c r="B177" s="2">
        <v>9</v>
      </c>
      <c r="C177" s="2">
        <v>4.7</v>
      </c>
      <c r="D177" s="2" t="s">
        <v>81</v>
      </c>
      <c r="E177" s="2">
        <f t="shared" si="13"/>
        <v>42.300000000000004</v>
      </c>
    </row>
    <row r="178" spans="1:5" x14ac:dyDescent="0.25">
      <c r="A178" s="1" t="s">
        <v>228</v>
      </c>
      <c r="B178" s="2">
        <v>9</v>
      </c>
      <c r="C178" s="2">
        <v>3.25</v>
      </c>
      <c r="D178" s="2" t="s">
        <v>81</v>
      </c>
      <c r="E178" s="2">
        <f t="shared" si="13"/>
        <v>29.25</v>
      </c>
    </row>
    <row r="179" spans="1:5" x14ac:dyDescent="0.25">
      <c r="A179" s="1" t="s">
        <v>235</v>
      </c>
      <c r="B179" s="2">
        <v>1</v>
      </c>
      <c r="C179" s="2">
        <v>3.07</v>
      </c>
      <c r="D179" s="2" t="s">
        <v>81</v>
      </c>
      <c r="E179" s="2">
        <f t="shared" si="13"/>
        <v>3.07</v>
      </c>
    </row>
    <row r="180" spans="1:5" x14ac:dyDescent="0.25">
      <c r="A180" s="1" t="s">
        <v>241</v>
      </c>
      <c r="B180" s="2">
        <v>1</v>
      </c>
      <c r="C180" s="2">
        <v>11.44</v>
      </c>
      <c r="D180" s="2" t="s">
        <v>81</v>
      </c>
      <c r="E180" s="2">
        <f t="shared" si="13"/>
        <v>11.44</v>
      </c>
    </row>
    <row r="181" spans="1:5" x14ac:dyDescent="0.25">
      <c r="A181" s="1" t="s">
        <v>216</v>
      </c>
      <c r="B181" s="2">
        <v>277</v>
      </c>
      <c r="C181" s="2">
        <v>2.2400000000000002</v>
      </c>
      <c r="D181" s="2" t="s">
        <v>81</v>
      </c>
      <c r="E181" s="2">
        <f t="shared" si="13"/>
        <v>620.48</v>
      </c>
    </row>
    <row r="182" spans="1:5" x14ac:dyDescent="0.25">
      <c r="A182" s="1" t="s">
        <v>215</v>
      </c>
      <c r="B182" s="2">
        <v>22</v>
      </c>
      <c r="C182" s="2">
        <v>2.92</v>
      </c>
      <c r="D182" s="2" t="s">
        <v>81</v>
      </c>
      <c r="E182" s="2">
        <f t="shared" si="13"/>
        <v>64.239999999999995</v>
      </c>
    </row>
    <row r="183" spans="1:5" x14ac:dyDescent="0.25">
      <c r="A183" s="1" t="s">
        <v>214</v>
      </c>
      <c r="B183" s="2">
        <v>16</v>
      </c>
      <c r="C183" s="2">
        <v>3.56</v>
      </c>
      <c r="D183" s="2" t="s">
        <v>81</v>
      </c>
      <c r="E183" s="2">
        <f t="shared" si="13"/>
        <v>56.96</v>
      </c>
    </row>
    <row r="184" spans="1:5" x14ac:dyDescent="0.25">
      <c r="A184" s="1" t="s">
        <v>217</v>
      </c>
      <c r="B184" s="2">
        <v>2</v>
      </c>
      <c r="C184" s="2">
        <v>1.9835</v>
      </c>
      <c r="D184" s="2" t="s">
        <v>81</v>
      </c>
      <c r="E184" s="2">
        <f t="shared" si="13"/>
        <v>3.9670000000000001</v>
      </c>
    </row>
    <row r="185" spans="1:5" x14ac:dyDescent="0.25">
      <c r="A185" s="1" t="s">
        <v>218</v>
      </c>
      <c r="B185" s="2">
        <v>2</v>
      </c>
      <c r="C185" s="2">
        <v>1.98</v>
      </c>
      <c r="D185" s="2" t="s">
        <v>81</v>
      </c>
      <c r="E185" s="2">
        <f t="shared" si="13"/>
        <v>3.96</v>
      </c>
    </row>
    <row r="186" spans="1:5" x14ac:dyDescent="0.25">
      <c r="A186" s="1" t="s">
        <v>219</v>
      </c>
      <c r="B186" s="2">
        <v>6</v>
      </c>
      <c r="C186" s="2">
        <v>1.66</v>
      </c>
      <c r="D186" s="2" t="s">
        <v>81</v>
      </c>
      <c r="E186" s="2">
        <f t="shared" si="13"/>
        <v>9.9599999999999991</v>
      </c>
    </row>
    <row r="187" spans="1:5" x14ac:dyDescent="0.25">
      <c r="A187" s="1" t="s">
        <v>220</v>
      </c>
      <c r="B187" s="2">
        <v>1</v>
      </c>
      <c r="C187" s="2">
        <v>5.53</v>
      </c>
      <c r="D187" s="2" t="s">
        <v>81</v>
      </c>
      <c r="E187" s="2">
        <f t="shared" si="13"/>
        <v>5.53</v>
      </c>
    </row>
    <row r="188" spans="1:5" x14ac:dyDescent="0.25">
      <c r="A188" s="1" t="s">
        <v>221</v>
      </c>
      <c r="B188" s="2">
        <v>2</v>
      </c>
      <c r="C188" s="2">
        <v>5.01</v>
      </c>
      <c r="D188" s="2" t="s">
        <v>81</v>
      </c>
      <c r="E188" s="2">
        <f t="shared" si="13"/>
        <v>10.02</v>
      </c>
    </row>
    <row r="189" spans="1:5" x14ac:dyDescent="0.25">
      <c r="A189" s="1" t="s">
        <v>222</v>
      </c>
      <c r="B189" s="2">
        <v>3</v>
      </c>
      <c r="C189" s="2">
        <v>4.82</v>
      </c>
      <c r="D189" s="2" t="s">
        <v>81</v>
      </c>
      <c r="E189" s="2">
        <f t="shared" si="13"/>
        <v>14.46</v>
      </c>
    </row>
    <row r="190" spans="1:5" x14ac:dyDescent="0.25">
      <c r="A190" s="1" t="s">
        <v>223</v>
      </c>
      <c r="B190" s="2">
        <v>1</v>
      </c>
      <c r="C190" s="2">
        <v>6.07</v>
      </c>
      <c r="D190" s="2" t="s">
        <v>81</v>
      </c>
      <c r="E190" s="2">
        <f t="shared" si="13"/>
        <v>6.07</v>
      </c>
    </row>
    <row r="191" spans="1:5" x14ac:dyDescent="0.25">
      <c r="A191" s="1" t="s">
        <v>224</v>
      </c>
      <c r="B191" s="2">
        <v>22</v>
      </c>
      <c r="C191" s="2">
        <v>0.54</v>
      </c>
      <c r="D191" s="2" t="s">
        <v>81</v>
      </c>
      <c r="E191" s="2">
        <f t="shared" si="13"/>
        <v>11.88</v>
      </c>
    </row>
    <row r="192" spans="1:5" x14ac:dyDescent="0.25">
      <c r="A192" s="1" t="s">
        <v>225</v>
      </c>
      <c r="B192" s="2">
        <v>20</v>
      </c>
      <c r="C192" s="2">
        <v>0.79</v>
      </c>
      <c r="D192" s="2" t="s">
        <v>81</v>
      </c>
      <c r="E192" s="2">
        <f t="shared" si="13"/>
        <v>15.8</v>
      </c>
    </row>
    <row r="193" spans="1:5" x14ac:dyDescent="0.25">
      <c r="A193" s="1" t="s">
        <v>226</v>
      </c>
      <c r="B193" s="2">
        <v>524</v>
      </c>
      <c r="C193" s="2">
        <v>0.38</v>
      </c>
      <c r="D193" s="2" t="s">
        <v>81</v>
      </c>
      <c r="E193" s="2">
        <f t="shared" si="13"/>
        <v>199.12</v>
      </c>
    </row>
    <row r="194" spans="1:5" x14ac:dyDescent="0.25">
      <c r="A194" s="1" t="s">
        <v>229</v>
      </c>
      <c r="B194" s="2">
        <v>2</v>
      </c>
      <c r="C194" s="2">
        <v>1.66</v>
      </c>
      <c r="D194" s="2" t="s">
        <v>81</v>
      </c>
      <c r="E194" s="2">
        <f t="shared" si="13"/>
        <v>3.32</v>
      </c>
    </row>
    <row r="195" spans="1:5" x14ac:dyDescent="0.25">
      <c r="A195" s="1" t="s">
        <v>230</v>
      </c>
      <c r="B195" s="2">
        <v>8</v>
      </c>
      <c r="C195" s="2">
        <v>0.78</v>
      </c>
      <c r="D195" s="2" t="s">
        <v>81</v>
      </c>
      <c r="E195" s="2">
        <f t="shared" si="13"/>
        <v>6.24</v>
      </c>
    </row>
    <row r="196" spans="1:5" x14ac:dyDescent="0.25">
      <c r="A196" s="1" t="s">
        <v>231</v>
      </c>
      <c r="B196" s="2">
        <v>6</v>
      </c>
      <c r="C196" s="2">
        <v>31.3</v>
      </c>
      <c r="D196" s="2" t="s">
        <v>81</v>
      </c>
      <c r="E196" s="2">
        <f t="shared" si="13"/>
        <v>187.8</v>
      </c>
    </row>
    <row r="197" spans="1:5" x14ac:dyDescent="0.25">
      <c r="A197" s="1" t="s">
        <v>232</v>
      </c>
      <c r="B197" s="2">
        <v>6</v>
      </c>
      <c r="C197" s="2">
        <v>31.3</v>
      </c>
      <c r="D197" s="2" t="s">
        <v>81</v>
      </c>
      <c r="E197" s="2">
        <f t="shared" si="13"/>
        <v>187.8</v>
      </c>
    </row>
    <row r="198" spans="1:5" x14ac:dyDescent="0.25">
      <c r="A198" s="1" t="s">
        <v>242</v>
      </c>
      <c r="B198" s="2">
        <v>1</v>
      </c>
      <c r="C198" s="2">
        <v>11.73</v>
      </c>
      <c r="D198" s="2" t="s">
        <v>81</v>
      </c>
      <c r="E198" s="2">
        <f t="shared" si="13"/>
        <v>11.73</v>
      </c>
    </row>
    <row r="199" spans="1:5" x14ac:dyDescent="0.25">
      <c r="A199" s="1" t="s">
        <v>243</v>
      </c>
      <c r="B199" s="2">
        <v>5</v>
      </c>
      <c r="C199" s="2">
        <v>12.15</v>
      </c>
      <c r="D199" s="2" t="s">
        <v>81</v>
      </c>
      <c r="E199" s="2">
        <f t="shared" si="13"/>
        <v>60.75</v>
      </c>
    </row>
    <row r="200" spans="1:5" x14ac:dyDescent="0.25">
      <c r="A200" s="1" t="s">
        <v>245</v>
      </c>
      <c r="B200" s="2">
        <v>5</v>
      </c>
      <c r="C200" s="2">
        <v>3.53</v>
      </c>
      <c r="D200" s="2" t="s">
        <v>81</v>
      </c>
      <c r="E200" s="2">
        <f t="shared" si="13"/>
        <v>17.649999999999999</v>
      </c>
    </row>
    <row r="201" spans="1:5" x14ac:dyDescent="0.25">
      <c r="A201" s="1" t="s">
        <v>244</v>
      </c>
      <c r="B201" s="2">
        <v>2</v>
      </c>
      <c r="C201" s="2">
        <v>3.71</v>
      </c>
      <c r="D201" s="2" t="s">
        <v>81</v>
      </c>
      <c r="E201" s="2">
        <f t="shared" si="13"/>
        <v>7.42</v>
      </c>
    </row>
    <row r="202" spans="1:5" x14ac:dyDescent="0.25">
      <c r="A202" s="1" t="s">
        <v>246</v>
      </c>
      <c r="B202" s="2">
        <v>4</v>
      </c>
      <c r="C202" s="2">
        <v>3.82</v>
      </c>
      <c r="D202" s="2" t="s">
        <v>81</v>
      </c>
      <c r="E202" s="2">
        <f t="shared" si="13"/>
        <v>15.28</v>
      </c>
    </row>
    <row r="203" spans="1:5" x14ac:dyDescent="0.25">
      <c r="A203" s="1" t="s">
        <v>233</v>
      </c>
      <c r="B203" s="2">
        <v>6</v>
      </c>
      <c r="C203" s="2">
        <v>1.22</v>
      </c>
      <c r="D203" s="2" t="s">
        <v>81</v>
      </c>
      <c r="E203" s="2">
        <f t="shared" si="13"/>
        <v>7.32</v>
      </c>
    </row>
    <row r="204" spans="1:5" x14ac:dyDescent="0.25">
      <c r="A204" s="1" t="s">
        <v>234</v>
      </c>
      <c r="B204" s="2">
        <v>6</v>
      </c>
      <c r="C204" s="2">
        <v>0.38</v>
      </c>
      <c r="D204" s="2" t="s">
        <v>81</v>
      </c>
      <c r="E204" s="2">
        <f t="shared" si="13"/>
        <v>2.2800000000000002</v>
      </c>
    </row>
    <row r="205" spans="1:5" x14ac:dyDescent="0.25">
      <c r="A205" s="1" t="s">
        <v>236</v>
      </c>
      <c r="B205" s="2">
        <v>847</v>
      </c>
      <c r="C205" s="2">
        <v>3.5200000000000002E-2</v>
      </c>
      <c r="D205" s="2" t="s">
        <v>121</v>
      </c>
      <c r="E205" s="2">
        <f t="shared" ref="E205:E212" si="14">B205*C205</f>
        <v>29.814400000000003</v>
      </c>
    </row>
    <row r="206" spans="1:5" x14ac:dyDescent="0.25">
      <c r="A206" s="1" t="s">
        <v>240</v>
      </c>
      <c r="B206" s="2">
        <v>5.5</v>
      </c>
      <c r="C206" s="2">
        <v>1.4</v>
      </c>
      <c r="D206" s="2" t="s">
        <v>84</v>
      </c>
      <c r="E206" s="2">
        <f t="shared" si="14"/>
        <v>7.6999999999999993</v>
      </c>
    </row>
    <row r="207" spans="1:5" x14ac:dyDescent="0.25">
      <c r="A207" s="1" t="s">
        <v>92</v>
      </c>
      <c r="B207" s="2">
        <v>1</v>
      </c>
      <c r="C207" s="2">
        <v>33</v>
      </c>
      <c r="D207" s="2" t="s">
        <v>93</v>
      </c>
      <c r="E207" s="6">
        <f t="shared" si="14"/>
        <v>33</v>
      </c>
    </row>
    <row r="208" spans="1:5" x14ac:dyDescent="0.25">
      <c r="A208" s="1" t="s">
        <v>237</v>
      </c>
      <c r="B208" s="2">
        <v>80</v>
      </c>
      <c r="C208" s="2">
        <v>0.66249999999999998</v>
      </c>
      <c r="D208" s="2" t="s">
        <v>81</v>
      </c>
      <c r="E208" s="2">
        <f t="shared" si="14"/>
        <v>53</v>
      </c>
    </row>
    <row r="209" spans="1:5" x14ac:dyDescent="0.25">
      <c r="A209" s="1" t="s">
        <v>238</v>
      </c>
      <c r="B209" s="2">
        <v>80</v>
      </c>
      <c r="C209" s="2">
        <v>1.08</v>
      </c>
      <c r="D209" s="2" t="s">
        <v>81</v>
      </c>
      <c r="E209" s="2">
        <f t="shared" si="14"/>
        <v>86.4</v>
      </c>
    </row>
    <row r="210" spans="1:5" x14ac:dyDescent="0.25">
      <c r="A210" s="1" t="s">
        <v>247</v>
      </c>
      <c r="B210" s="2">
        <v>13</v>
      </c>
      <c r="C210" s="2">
        <v>1.83</v>
      </c>
      <c r="D210" s="2" t="s">
        <v>81</v>
      </c>
      <c r="E210" s="2">
        <f t="shared" si="14"/>
        <v>23.79</v>
      </c>
    </row>
    <row r="211" spans="1:5" x14ac:dyDescent="0.25">
      <c r="A211" s="1" t="s">
        <v>248</v>
      </c>
      <c r="B211" s="2">
        <v>23</v>
      </c>
      <c r="C211" s="2">
        <v>0.7</v>
      </c>
      <c r="D211" s="2" t="s">
        <v>81</v>
      </c>
      <c r="E211" s="2">
        <f t="shared" si="14"/>
        <v>16.099999999999998</v>
      </c>
    </row>
    <row r="212" spans="1:5" x14ac:dyDescent="0.25">
      <c r="A212" s="1" t="s">
        <v>249</v>
      </c>
      <c r="B212" s="2">
        <v>7</v>
      </c>
      <c r="C212" s="2">
        <v>0.8</v>
      </c>
      <c r="D212" s="2" t="s">
        <v>81</v>
      </c>
      <c r="E212" s="2">
        <f t="shared" si="14"/>
        <v>5.6000000000000005</v>
      </c>
    </row>
    <row r="213" spans="1:5" x14ac:dyDescent="0.25">
      <c r="A213" s="1" t="s">
        <v>250</v>
      </c>
      <c r="B213" s="2">
        <v>73</v>
      </c>
      <c r="C213" s="2">
        <v>0.1</v>
      </c>
      <c r="D213" s="2" t="s">
        <v>81</v>
      </c>
      <c r="E213" s="2">
        <f t="shared" ref="E213:E223" si="15">B213*C213</f>
        <v>7.3000000000000007</v>
      </c>
    </row>
    <row r="214" spans="1:5" x14ac:dyDescent="0.25">
      <c r="A214" s="1" t="s">
        <v>251</v>
      </c>
      <c r="B214" s="2">
        <v>14</v>
      </c>
      <c r="C214" s="2">
        <v>0.2</v>
      </c>
      <c r="D214" s="2" t="s">
        <v>81</v>
      </c>
      <c r="E214" s="2">
        <f t="shared" si="15"/>
        <v>2.8000000000000003</v>
      </c>
    </row>
    <row r="215" spans="1:5" x14ac:dyDescent="0.25">
      <c r="A215" s="1" t="s">
        <v>253</v>
      </c>
      <c r="B215" s="2">
        <v>12</v>
      </c>
      <c r="C215" s="2">
        <v>3.37</v>
      </c>
      <c r="D215" s="2" t="s">
        <v>81</v>
      </c>
      <c r="E215" s="2">
        <f t="shared" si="15"/>
        <v>40.44</v>
      </c>
    </row>
    <row r="216" spans="1:5" x14ac:dyDescent="0.25">
      <c r="A216" s="1" t="s">
        <v>254</v>
      </c>
      <c r="B216" s="2">
        <v>10</v>
      </c>
      <c r="C216" s="2">
        <v>3.45</v>
      </c>
      <c r="D216" s="2" t="s">
        <v>81</v>
      </c>
      <c r="E216" s="2">
        <f t="shared" si="15"/>
        <v>34.5</v>
      </c>
    </row>
    <row r="217" spans="1:5" x14ac:dyDescent="0.25">
      <c r="A217" s="1" t="s">
        <v>255</v>
      </c>
      <c r="B217" s="2">
        <v>12</v>
      </c>
      <c r="C217" s="2">
        <v>3.97</v>
      </c>
      <c r="D217" s="2" t="s">
        <v>81</v>
      </c>
      <c r="E217" s="2">
        <f t="shared" si="15"/>
        <v>47.64</v>
      </c>
    </row>
    <row r="218" spans="1:5" x14ac:dyDescent="0.25">
      <c r="A218" s="1" t="s">
        <v>280</v>
      </c>
      <c r="B218" s="2">
        <v>1</v>
      </c>
      <c r="C218" s="2">
        <v>6.81</v>
      </c>
      <c r="D218" s="2" t="s">
        <v>81</v>
      </c>
      <c r="E218" s="2">
        <f t="shared" si="15"/>
        <v>6.81</v>
      </c>
    </row>
    <row r="219" spans="1:5" x14ac:dyDescent="0.25">
      <c r="A219" s="1" t="s">
        <v>252</v>
      </c>
      <c r="B219" s="2">
        <v>53</v>
      </c>
      <c r="C219" s="2">
        <v>0.32</v>
      </c>
      <c r="D219" s="2" t="s">
        <v>81</v>
      </c>
      <c r="E219" s="2">
        <f t="shared" si="15"/>
        <v>16.96</v>
      </c>
    </row>
    <row r="220" spans="1:5" x14ac:dyDescent="0.25">
      <c r="A220" s="1" t="s">
        <v>256</v>
      </c>
      <c r="B220" s="2">
        <v>2</v>
      </c>
      <c r="C220" s="2">
        <v>26.94</v>
      </c>
      <c r="D220" s="2" t="s">
        <v>81</v>
      </c>
      <c r="E220" s="2">
        <f t="shared" si="15"/>
        <v>53.88</v>
      </c>
    </row>
    <row r="221" spans="1:5" x14ac:dyDescent="0.25">
      <c r="A221" s="1" t="s">
        <v>257</v>
      </c>
      <c r="B221" s="2">
        <v>2</v>
      </c>
      <c r="C221" s="2">
        <v>26.94</v>
      </c>
      <c r="D221" s="2" t="s">
        <v>81</v>
      </c>
      <c r="E221" s="2">
        <f t="shared" si="15"/>
        <v>53.88</v>
      </c>
    </row>
    <row r="222" spans="1:5" x14ac:dyDescent="0.25">
      <c r="A222" s="1" t="s">
        <v>258</v>
      </c>
      <c r="B222" s="2">
        <v>0</v>
      </c>
      <c r="C222" s="2">
        <v>26.94</v>
      </c>
      <c r="D222" s="2" t="s">
        <v>81</v>
      </c>
      <c r="E222" s="2">
        <f t="shared" si="15"/>
        <v>0</v>
      </c>
    </row>
    <row r="223" spans="1:5" x14ac:dyDescent="0.25">
      <c r="A223" s="1" t="s">
        <v>259</v>
      </c>
      <c r="B223" s="2">
        <v>4</v>
      </c>
      <c r="C223" s="2">
        <v>9.9</v>
      </c>
      <c r="D223" s="2" t="s">
        <v>81</v>
      </c>
      <c r="E223" s="2">
        <f t="shared" si="15"/>
        <v>39.6</v>
      </c>
    </row>
    <row r="224" spans="1:5" x14ac:dyDescent="0.25">
      <c r="A224" s="1" t="s">
        <v>260</v>
      </c>
      <c r="B224" s="2">
        <v>14</v>
      </c>
      <c r="C224" s="2">
        <v>4.9000000000000004</v>
      </c>
      <c r="D224" s="2" t="s">
        <v>81</v>
      </c>
      <c r="E224" s="2">
        <f t="shared" si="13"/>
        <v>68.600000000000009</v>
      </c>
    </row>
    <row r="225" spans="1:5" x14ac:dyDescent="0.25">
      <c r="A225" s="1" t="s">
        <v>267</v>
      </c>
      <c r="B225" s="2">
        <v>1</v>
      </c>
      <c r="C225" s="2">
        <v>4.2</v>
      </c>
      <c r="D225" s="2" t="s">
        <v>81</v>
      </c>
      <c r="E225" s="2">
        <f t="shared" si="13"/>
        <v>4.2</v>
      </c>
    </row>
    <row r="226" spans="1:5" x14ac:dyDescent="0.25">
      <c r="A226" s="1" t="s">
        <v>264</v>
      </c>
      <c r="B226" s="2">
        <v>1</v>
      </c>
      <c r="C226" s="2">
        <v>15.66</v>
      </c>
      <c r="D226" s="2" t="s">
        <v>81</v>
      </c>
      <c r="E226" s="2">
        <f t="shared" si="13"/>
        <v>15.66</v>
      </c>
    </row>
    <row r="227" spans="1:5" x14ac:dyDescent="0.25">
      <c r="A227" s="1" t="s">
        <v>265</v>
      </c>
      <c r="B227" s="2">
        <v>4</v>
      </c>
      <c r="C227" s="2">
        <v>0.85</v>
      </c>
      <c r="D227" s="2" t="s">
        <v>81</v>
      </c>
      <c r="E227" s="2">
        <f>B227*C227</f>
        <v>3.4</v>
      </c>
    </row>
    <row r="228" spans="1:5" x14ac:dyDescent="0.25">
      <c r="A228" s="1" t="s">
        <v>266</v>
      </c>
      <c r="B228" s="2">
        <v>2</v>
      </c>
      <c r="C228" s="2">
        <v>0.8</v>
      </c>
      <c r="D228" s="2" t="s">
        <v>81</v>
      </c>
      <c r="E228" s="2">
        <f>B228*C228</f>
        <v>1.6</v>
      </c>
    </row>
    <row r="229" spans="1:5" x14ac:dyDescent="0.25">
      <c r="A229" s="1" t="s">
        <v>261</v>
      </c>
      <c r="B229" s="2">
        <v>2</v>
      </c>
      <c r="C229" s="2">
        <v>3.92</v>
      </c>
      <c r="D229" s="2" t="s">
        <v>81</v>
      </c>
      <c r="E229" s="2">
        <f t="shared" si="13"/>
        <v>7.84</v>
      </c>
    </row>
    <row r="230" spans="1:5" x14ac:dyDescent="0.25">
      <c r="A230" s="1" t="s">
        <v>262</v>
      </c>
      <c r="B230" s="2">
        <v>1</v>
      </c>
      <c r="C230" s="2">
        <v>3.92</v>
      </c>
      <c r="D230" s="2" t="s">
        <v>81</v>
      </c>
      <c r="E230" s="2">
        <f t="shared" si="13"/>
        <v>3.92</v>
      </c>
    </row>
    <row r="231" spans="1:5" x14ac:dyDescent="0.25">
      <c r="A231" s="1" t="s">
        <v>263</v>
      </c>
      <c r="B231" s="2">
        <v>0</v>
      </c>
      <c r="C231" s="2">
        <v>12.04</v>
      </c>
      <c r="D231" s="2" t="s">
        <v>81</v>
      </c>
      <c r="E231" s="2">
        <f t="shared" si="13"/>
        <v>0</v>
      </c>
    </row>
    <row r="232" spans="1:5" x14ac:dyDescent="0.25">
      <c r="A232" s="1" t="s">
        <v>269</v>
      </c>
      <c r="B232" s="2">
        <v>0</v>
      </c>
      <c r="C232" s="2">
        <v>3.92</v>
      </c>
      <c r="D232" s="2" t="s">
        <v>81</v>
      </c>
      <c r="E232" s="2">
        <f t="shared" ref="E232:E242" si="16">B232*C232</f>
        <v>0</v>
      </c>
    </row>
    <row r="233" spans="1:5" x14ac:dyDescent="0.25">
      <c r="A233" s="1" t="s">
        <v>270</v>
      </c>
      <c r="B233" s="2">
        <v>0</v>
      </c>
      <c r="C233" s="2">
        <v>3.92</v>
      </c>
      <c r="D233" s="2" t="s">
        <v>81</v>
      </c>
      <c r="E233" s="2">
        <f t="shared" si="16"/>
        <v>0</v>
      </c>
    </row>
    <row r="234" spans="1:5" x14ac:dyDescent="0.25">
      <c r="A234" s="1" t="s">
        <v>271</v>
      </c>
      <c r="B234" s="2">
        <v>0</v>
      </c>
      <c r="C234" s="2">
        <v>12.04</v>
      </c>
      <c r="D234" s="2" t="s">
        <v>81</v>
      </c>
      <c r="E234" s="2">
        <f t="shared" si="16"/>
        <v>0</v>
      </c>
    </row>
    <row r="235" spans="1:5" x14ac:dyDescent="0.25">
      <c r="A235" s="1" t="s">
        <v>272</v>
      </c>
      <c r="B235" s="2">
        <v>6</v>
      </c>
      <c r="C235" s="2">
        <v>3.53</v>
      </c>
      <c r="D235" s="2" t="s">
        <v>81</v>
      </c>
      <c r="E235" s="2">
        <f t="shared" si="16"/>
        <v>21.18</v>
      </c>
    </row>
    <row r="236" spans="1:5" x14ac:dyDescent="0.25">
      <c r="A236" s="1" t="s">
        <v>273</v>
      </c>
      <c r="B236" s="2">
        <v>3</v>
      </c>
      <c r="C236" s="2">
        <v>1.73</v>
      </c>
      <c r="D236" s="2" t="s">
        <v>81</v>
      </c>
      <c r="E236" s="2">
        <f t="shared" si="16"/>
        <v>5.1899999999999995</v>
      </c>
    </row>
    <row r="237" spans="1:5" x14ac:dyDescent="0.25">
      <c r="A237" s="1" t="s">
        <v>274</v>
      </c>
      <c r="B237" s="2">
        <v>16</v>
      </c>
      <c r="C237" s="2">
        <v>1.45</v>
      </c>
      <c r="D237" s="2" t="s">
        <v>81</v>
      </c>
      <c r="E237" s="2">
        <f t="shared" si="16"/>
        <v>23.2</v>
      </c>
    </row>
    <row r="238" spans="1:5" x14ac:dyDescent="0.25">
      <c r="A238" s="1" t="s">
        <v>275</v>
      </c>
      <c r="B238" s="2">
        <v>76</v>
      </c>
      <c r="C238" s="2"/>
      <c r="D238" s="2" t="s">
        <v>81</v>
      </c>
      <c r="E238" s="2">
        <f t="shared" si="16"/>
        <v>0</v>
      </c>
    </row>
    <row r="239" spans="1:5" x14ac:dyDescent="0.25">
      <c r="A239" s="1" t="s">
        <v>276</v>
      </c>
      <c r="B239" s="2">
        <v>2</v>
      </c>
      <c r="C239" s="2">
        <v>7.25</v>
      </c>
      <c r="D239" s="2" t="s">
        <v>81</v>
      </c>
      <c r="E239" s="2">
        <f t="shared" si="16"/>
        <v>14.5</v>
      </c>
    </row>
    <row r="240" spans="1:5" x14ac:dyDescent="0.25">
      <c r="A240" s="1" t="s">
        <v>277</v>
      </c>
      <c r="B240" s="2">
        <v>1</v>
      </c>
      <c r="C240" s="2">
        <v>7.42</v>
      </c>
      <c r="D240" s="2" t="s">
        <v>81</v>
      </c>
      <c r="E240" s="2">
        <f t="shared" si="16"/>
        <v>7.42</v>
      </c>
    </row>
    <row r="241" spans="1:5" x14ac:dyDescent="0.25">
      <c r="A241" s="1" t="s">
        <v>278</v>
      </c>
      <c r="B241" s="2">
        <v>1</v>
      </c>
      <c r="C241" s="2">
        <v>37.01</v>
      </c>
      <c r="D241" s="2" t="s">
        <v>81</v>
      </c>
      <c r="E241" s="2">
        <f t="shared" si="16"/>
        <v>37.01</v>
      </c>
    </row>
    <row r="242" spans="1:5" x14ac:dyDescent="0.25">
      <c r="A242" s="1" t="s">
        <v>279</v>
      </c>
      <c r="B242" s="2">
        <v>1</v>
      </c>
      <c r="C242" s="2">
        <v>5</v>
      </c>
      <c r="D242" s="2" t="s">
        <v>81</v>
      </c>
      <c r="E242" s="2">
        <f t="shared" si="16"/>
        <v>5</v>
      </c>
    </row>
    <row r="243" spans="1:5" x14ac:dyDescent="0.25">
      <c r="A243" s="1" t="s">
        <v>268</v>
      </c>
      <c r="B243" s="2">
        <v>40</v>
      </c>
      <c r="C243" s="2">
        <v>0.187</v>
      </c>
      <c r="D243" s="2" t="s">
        <v>81</v>
      </c>
      <c r="E243" s="2">
        <f>B243*C243</f>
        <v>7.48</v>
      </c>
    </row>
    <row r="244" spans="1:5" x14ac:dyDescent="0.25">
      <c r="A244" s="1" t="s">
        <v>282</v>
      </c>
      <c r="B244" s="2">
        <v>120</v>
      </c>
      <c r="C244" s="2">
        <v>0.7</v>
      </c>
      <c r="D244" s="2" t="s">
        <v>84</v>
      </c>
      <c r="E244" s="2">
        <f>B244*C244</f>
        <v>84</v>
      </c>
    </row>
    <row r="245" spans="1:5" x14ac:dyDescent="0.25">
      <c r="A245" s="1"/>
      <c r="B245" s="1"/>
      <c r="C245" s="1"/>
      <c r="D245" s="1"/>
      <c r="E245" s="1">
        <f>SUM(E167:E244)</f>
        <v>2922.3414000000002</v>
      </c>
    </row>
    <row r="248" spans="1:5" ht="26.25" x14ac:dyDescent="0.25">
      <c r="A248" s="29" t="s">
        <v>173</v>
      </c>
      <c r="B248" s="30"/>
      <c r="C248" s="30"/>
      <c r="D248" s="30"/>
      <c r="E248" s="31"/>
    </row>
    <row r="249" spans="1:5" x14ac:dyDescent="0.25">
      <c r="A249" s="2" t="s">
        <v>0</v>
      </c>
      <c r="B249" s="2" t="s">
        <v>3</v>
      </c>
      <c r="C249" s="2" t="s">
        <v>56</v>
      </c>
      <c r="D249" s="2" t="s">
        <v>81</v>
      </c>
      <c r="E249" s="2" t="s">
        <v>1</v>
      </c>
    </row>
    <row r="250" spans="1:5" x14ac:dyDescent="0.25">
      <c r="A250" s="1" t="s">
        <v>117</v>
      </c>
      <c r="B250" s="2">
        <v>43</v>
      </c>
      <c r="C250" s="2">
        <v>0.33</v>
      </c>
      <c r="D250" s="2" t="s">
        <v>84</v>
      </c>
      <c r="E250" s="1">
        <f>+B250*C250</f>
        <v>14.190000000000001</v>
      </c>
    </row>
    <row r="251" spans="1:5" x14ac:dyDescent="0.25">
      <c r="A251" s="1" t="s">
        <v>188</v>
      </c>
      <c r="B251" s="2">
        <v>35</v>
      </c>
      <c r="C251" s="8">
        <v>0.38666666</v>
      </c>
      <c r="D251" s="2" t="s">
        <v>84</v>
      </c>
      <c r="E251" s="1">
        <f>+B251*C251</f>
        <v>13.5333331</v>
      </c>
    </row>
    <row r="252" spans="1:5" x14ac:dyDescent="0.25">
      <c r="A252" s="1" t="s">
        <v>190</v>
      </c>
      <c r="B252" s="2">
        <v>28</v>
      </c>
      <c r="C252" s="8">
        <v>0.38666666</v>
      </c>
      <c r="D252" s="2" t="s">
        <v>84</v>
      </c>
      <c r="E252" s="1">
        <f>+B252*C252</f>
        <v>10.82666648</v>
      </c>
    </row>
    <row r="253" spans="1:5" x14ac:dyDescent="0.25">
      <c r="A253" s="1" t="s">
        <v>189</v>
      </c>
      <c r="B253" s="2">
        <v>5</v>
      </c>
      <c r="C253" s="8">
        <v>0.38666666</v>
      </c>
      <c r="D253" s="2" t="s">
        <v>84</v>
      </c>
      <c r="E253" s="1">
        <f>+B253*C253</f>
        <v>1.9333332999999999</v>
      </c>
    </row>
    <row r="254" spans="1:5" x14ac:dyDescent="0.25">
      <c r="A254" s="1" t="s">
        <v>283</v>
      </c>
      <c r="B254" s="2">
        <v>50</v>
      </c>
      <c r="C254" s="8">
        <v>0.38666666</v>
      </c>
      <c r="D254" s="2" t="s">
        <v>84</v>
      </c>
      <c r="E254" s="1">
        <f t="shared" ref="E254:E267" si="17">+B254*C254</f>
        <v>19.333333</v>
      </c>
    </row>
    <row r="255" spans="1:5" x14ac:dyDescent="0.25">
      <c r="A255" s="1" t="s">
        <v>192</v>
      </c>
      <c r="B255" s="2">
        <v>39</v>
      </c>
      <c r="C255" s="8">
        <v>0.38666666</v>
      </c>
      <c r="D255" s="2" t="s">
        <v>84</v>
      </c>
      <c r="E255" s="1">
        <f>+B255*C255</f>
        <v>15.07999974</v>
      </c>
    </row>
    <row r="256" spans="1:5" x14ac:dyDescent="0.25">
      <c r="A256" s="1" t="s">
        <v>198</v>
      </c>
      <c r="B256" s="2">
        <v>26</v>
      </c>
      <c r="C256" s="8">
        <v>0.38666666</v>
      </c>
      <c r="D256" s="2" t="s">
        <v>84</v>
      </c>
      <c r="E256" s="1">
        <f>+B256*C256</f>
        <v>10.053333159999999</v>
      </c>
    </row>
    <row r="257" spans="1:5" x14ac:dyDescent="0.25">
      <c r="A257" s="1" t="s">
        <v>199</v>
      </c>
      <c r="B257" s="2">
        <v>3.5</v>
      </c>
      <c r="C257" s="8">
        <v>0.38666666</v>
      </c>
      <c r="D257" s="2" t="s">
        <v>84</v>
      </c>
      <c r="E257" s="1">
        <f t="shared" ref="E257:E258" si="18">+B257*C257</f>
        <v>1.35333331</v>
      </c>
    </row>
    <row r="258" spans="1:5" x14ac:dyDescent="0.25">
      <c r="A258" s="1" t="s">
        <v>200</v>
      </c>
      <c r="B258" s="2">
        <v>15</v>
      </c>
      <c r="C258" s="8">
        <v>0.38666666</v>
      </c>
      <c r="D258" s="2" t="s">
        <v>84</v>
      </c>
      <c r="E258" s="1">
        <f t="shared" si="18"/>
        <v>5.7999998999999995</v>
      </c>
    </row>
    <row r="259" spans="1:5" x14ac:dyDescent="0.25">
      <c r="A259" s="1" t="s">
        <v>187</v>
      </c>
      <c r="B259" s="2">
        <v>47</v>
      </c>
      <c r="C259" s="8">
        <v>0.38666666</v>
      </c>
      <c r="D259" s="2" t="s">
        <v>84</v>
      </c>
      <c r="E259" s="1">
        <f>+B259*C259</f>
        <v>18.173333020000001</v>
      </c>
    </row>
    <row r="260" spans="1:5" x14ac:dyDescent="0.25">
      <c r="A260" s="1" t="s">
        <v>194</v>
      </c>
      <c r="B260" s="2">
        <v>24</v>
      </c>
      <c r="C260" s="8">
        <v>0.38666666</v>
      </c>
      <c r="D260" s="2" t="s">
        <v>84</v>
      </c>
      <c r="E260" s="1">
        <f>+B261*C260</f>
        <v>9.6666664999999998</v>
      </c>
    </row>
    <row r="261" spans="1:5" x14ac:dyDescent="0.25">
      <c r="A261" s="1" t="s">
        <v>191</v>
      </c>
      <c r="B261" s="2">
        <v>25</v>
      </c>
      <c r="C261" s="9">
        <v>0.41399999999999998</v>
      </c>
      <c r="D261" s="2" t="s">
        <v>84</v>
      </c>
      <c r="E261" s="1">
        <f>+B260*C261</f>
        <v>9.9359999999999999</v>
      </c>
    </row>
    <row r="262" spans="1:5" x14ac:dyDescent="0.25">
      <c r="A262" s="1" t="s">
        <v>195</v>
      </c>
      <c r="B262" s="2">
        <v>25</v>
      </c>
      <c r="C262" s="2">
        <v>0.38700000000000001</v>
      </c>
      <c r="D262" s="2" t="s">
        <v>84</v>
      </c>
      <c r="E262" s="1">
        <f t="shared" si="17"/>
        <v>9.6750000000000007</v>
      </c>
    </row>
    <row r="263" spans="1:5" x14ac:dyDescent="0.25">
      <c r="A263" s="1" t="s">
        <v>196</v>
      </c>
      <c r="B263" s="2">
        <v>33</v>
      </c>
      <c r="C263" s="2">
        <v>0.38700000000000001</v>
      </c>
      <c r="D263" s="2" t="s">
        <v>84</v>
      </c>
      <c r="E263" s="1">
        <f t="shared" si="17"/>
        <v>12.771000000000001</v>
      </c>
    </row>
    <row r="264" spans="1:5" x14ac:dyDescent="0.25">
      <c r="A264" s="1" t="s">
        <v>197</v>
      </c>
      <c r="B264" s="2">
        <v>49</v>
      </c>
      <c r="C264" s="2">
        <v>0.38700000000000001</v>
      </c>
      <c r="D264" s="2" t="s">
        <v>84</v>
      </c>
      <c r="E264" s="1">
        <f t="shared" si="17"/>
        <v>18.963000000000001</v>
      </c>
    </row>
    <row r="265" spans="1:5" x14ac:dyDescent="0.25">
      <c r="A265" s="1" t="s">
        <v>193</v>
      </c>
      <c r="B265" s="2">
        <v>33</v>
      </c>
      <c r="C265" s="2">
        <v>0.38700000000000001</v>
      </c>
      <c r="D265" s="2" t="s">
        <v>84</v>
      </c>
      <c r="E265" s="1">
        <f t="shared" si="17"/>
        <v>12.771000000000001</v>
      </c>
    </row>
    <row r="266" spans="1:5" x14ac:dyDescent="0.25">
      <c r="A266" s="1" t="s">
        <v>201</v>
      </c>
      <c r="B266" s="2">
        <v>5</v>
      </c>
      <c r="C266" s="2">
        <v>0.38700000000000001</v>
      </c>
      <c r="D266" s="2" t="s">
        <v>84</v>
      </c>
      <c r="E266" s="1">
        <f t="shared" si="17"/>
        <v>1.9350000000000001</v>
      </c>
    </row>
    <row r="267" spans="1:5" x14ac:dyDescent="0.25">
      <c r="A267" s="1" t="s">
        <v>202</v>
      </c>
      <c r="B267" s="2">
        <v>50</v>
      </c>
      <c r="C267" s="2">
        <v>0.53359999999999996</v>
      </c>
      <c r="D267" s="2" t="s">
        <v>84</v>
      </c>
      <c r="E267" s="1">
        <f t="shared" si="17"/>
        <v>26.68</v>
      </c>
    </row>
    <row r="268" spans="1:5" x14ac:dyDescent="0.25">
      <c r="A268" s="7"/>
      <c r="B268" s="7"/>
      <c r="C268" s="7"/>
      <c r="D268" s="7"/>
      <c r="E268" s="1">
        <f>SUM(E250:E267)</f>
        <v>212.67433151</v>
      </c>
    </row>
    <row r="272" spans="1:5" x14ac:dyDescent="0.25">
      <c r="D272" s="1" t="s">
        <v>109</v>
      </c>
      <c r="E272" s="1">
        <f>SUM(E79+E117+E141+E162+E245+E268)</f>
        <v>6293.4668475100007</v>
      </c>
    </row>
  </sheetData>
  <mergeCells count="6">
    <mergeCell ref="A248:E248"/>
    <mergeCell ref="A1:E1"/>
    <mergeCell ref="A82:E82"/>
    <mergeCell ref="A120:E120"/>
    <mergeCell ref="A144:E144"/>
    <mergeCell ref="A165:E165"/>
  </mergeCells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02A5FD-4606-4DBB-A503-9487568B9173}">
  <dimension ref="A1:F154"/>
  <sheetViews>
    <sheetView topLeftCell="A91" workbookViewId="0">
      <selection activeCell="G125" sqref="G125"/>
    </sheetView>
  </sheetViews>
  <sheetFormatPr baseColWidth="10" defaultRowHeight="15" x14ac:dyDescent="0.25"/>
  <cols>
    <col min="1" max="1" width="45.5703125" customWidth="1"/>
    <col min="3" max="3" width="11.28515625" bestFit="1" customWidth="1"/>
  </cols>
  <sheetData>
    <row r="1" spans="1:6" ht="40.5" customHeight="1" x14ac:dyDescent="0.4">
      <c r="A1" s="29" t="s">
        <v>25</v>
      </c>
      <c r="B1" s="30"/>
      <c r="C1" s="30"/>
      <c r="D1" s="30"/>
      <c r="E1" s="31"/>
      <c r="F1" s="3"/>
    </row>
    <row r="2" spans="1:6" ht="17.25" customHeight="1" x14ac:dyDescent="0.25">
      <c r="A2" s="2" t="s">
        <v>0</v>
      </c>
      <c r="B2" s="2" t="s">
        <v>3</v>
      </c>
      <c r="C2" s="2" t="s">
        <v>56</v>
      </c>
      <c r="D2" s="2" t="s">
        <v>81</v>
      </c>
      <c r="E2" s="2" t="s">
        <v>1</v>
      </c>
    </row>
    <row r="3" spans="1:6" x14ac:dyDescent="0.25">
      <c r="A3" s="1" t="s">
        <v>2</v>
      </c>
      <c r="B3" s="2">
        <v>150</v>
      </c>
      <c r="C3" s="2">
        <v>0.99</v>
      </c>
      <c r="D3" s="2" t="s">
        <v>121</v>
      </c>
      <c r="E3" s="2">
        <f t="shared" ref="E3:E40" si="0">B3*C3/100</f>
        <v>1.4850000000000001</v>
      </c>
    </row>
    <row r="4" spans="1:6" x14ac:dyDescent="0.25">
      <c r="A4" s="1" t="s">
        <v>4</v>
      </c>
      <c r="B4" s="2">
        <v>200</v>
      </c>
      <c r="C4" s="2">
        <v>1.05</v>
      </c>
      <c r="D4" s="2" t="s">
        <v>121</v>
      </c>
      <c r="E4" s="2">
        <f t="shared" si="0"/>
        <v>2.1</v>
      </c>
    </row>
    <row r="5" spans="1:6" x14ac:dyDescent="0.25">
      <c r="A5" s="1" t="s">
        <v>5</v>
      </c>
      <c r="B5" s="2">
        <v>250</v>
      </c>
      <c r="C5" s="2">
        <v>1.05</v>
      </c>
      <c r="D5" s="2" t="s">
        <v>121</v>
      </c>
      <c r="E5" s="2">
        <f t="shared" si="0"/>
        <v>2.625</v>
      </c>
    </row>
    <row r="6" spans="1:6" x14ac:dyDescent="0.25">
      <c r="A6" s="1" t="s">
        <v>6</v>
      </c>
      <c r="B6" s="2">
        <v>200</v>
      </c>
      <c r="C6" s="2">
        <v>1.17</v>
      </c>
      <c r="D6" s="2" t="s">
        <v>121</v>
      </c>
      <c r="E6" s="2">
        <f t="shared" si="0"/>
        <v>2.34</v>
      </c>
    </row>
    <row r="7" spans="1:6" x14ac:dyDescent="0.25">
      <c r="A7" s="1" t="s">
        <v>7</v>
      </c>
      <c r="B7" s="2">
        <v>500</v>
      </c>
      <c r="C7" s="2">
        <v>1.23</v>
      </c>
      <c r="D7" s="2" t="s">
        <v>121</v>
      </c>
      <c r="E7" s="2">
        <f t="shared" si="0"/>
        <v>6.15</v>
      </c>
    </row>
    <row r="8" spans="1:6" x14ac:dyDescent="0.25">
      <c r="A8" s="1" t="s">
        <v>8</v>
      </c>
      <c r="B8" s="2">
        <v>400</v>
      </c>
      <c r="C8" s="2">
        <v>1.35</v>
      </c>
      <c r="D8" s="2" t="s">
        <v>121</v>
      </c>
      <c r="E8" s="2">
        <f t="shared" si="0"/>
        <v>5.4</v>
      </c>
    </row>
    <row r="9" spans="1:6" x14ac:dyDescent="0.25">
      <c r="A9" s="1" t="s">
        <v>9</v>
      </c>
      <c r="B9" s="2">
        <v>250</v>
      </c>
      <c r="C9" s="2">
        <v>1.81</v>
      </c>
      <c r="D9" s="2" t="s">
        <v>121</v>
      </c>
      <c r="E9" s="2">
        <f t="shared" si="0"/>
        <v>4.5250000000000004</v>
      </c>
    </row>
    <row r="10" spans="1:6" x14ac:dyDescent="0.25">
      <c r="A10" s="1" t="s">
        <v>10</v>
      </c>
      <c r="B10" s="2">
        <v>500</v>
      </c>
      <c r="C10" s="2">
        <v>1.05</v>
      </c>
      <c r="D10" s="2" t="s">
        <v>121</v>
      </c>
      <c r="E10" s="2">
        <f t="shared" si="0"/>
        <v>5.25</v>
      </c>
    </row>
    <row r="11" spans="1:6" x14ac:dyDescent="0.25">
      <c r="A11" s="1" t="s">
        <v>11</v>
      </c>
      <c r="B11" s="2">
        <v>150</v>
      </c>
      <c r="C11" s="2">
        <v>1.1000000000000001</v>
      </c>
      <c r="D11" s="2" t="s">
        <v>121</v>
      </c>
      <c r="E11" s="2">
        <f t="shared" si="0"/>
        <v>1.65</v>
      </c>
    </row>
    <row r="12" spans="1:6" x14ac:dyDescent="0.25">
      <c r="A12" s="1" t="s">
        <v>12</v>
      </c>
      <c r="B12" s="2">
        <v>150</v>
      </c>
      <c r="C12" s="2">
        <v>1.17</v>
      </c>
      <c r="D12" s="2" t="s">
        <v>121</v>
      </c>
      <c r="E12" s="2">
        <f t="shared" si="0"/>
        <v>1.7549999999999999</v>
      </c>
    </row>
    <row r="13" spans="1:6" x14ac:dyDescent="0.25">
      <c r="A13" s="1" t="s">
        <v>13</v>
      </c>
      <c r="B13" s="2">
        <v>1000</v>
      </c>
      <c r="C13" s="2">
        <v>1.23</v>
      </c>
      <c r="D13" s="2" t="s">
        <v>121</v>
      </c>
      <c r="E13" s="2">
        <f t="shared" si="0"/>
        <v>12.3</v>
      </c>
    </row>
    <row r="14" spans="1:6" x14ac:dyDescent="0.25">
      <c r="A14" s="1" t="s">
        <v>14</v>
      </c>
      <c r="B14" s="2">
        <v>250</v>
      </c>
      <c r="C14" s="2">
        <v>2.3199999999999998</v>
      </c>
      <c r="D14" s="2" t="s">
        <v>121</v>
      </c>
      <c r="E14" s="2">
        <f t="shared" si="0"/>
        <v>5.8</v>
      </c>
    </row>
    <row r="15" spans="1:6" x14ac:dyDescent="0.25">
      <c r="A15" s="1" t="s">
        <v>15</v>
      </c>
      <c r="B15" s="2">
        <v>200</v>
      </c>
      <c r="C15" s="2">
        <v>1.69</v>
      </c>
      <c r="D15" s="2" t="s">
        <v>121</v>
      </c>
      <c r="E15" s="2">
        <f t="shared" si="0"/>
        <v>3.38</v>
      </c>
    </row>
    <row r="16" spans="1:6" x14ac:dyDescent="0.25">
      <c r="A16" s="1" t="s">
        <v>16</v>
      </c>
      <c r="B16" s="2">
        <v>300</v>
      </c>
      <c r="C16" s="2">
        <v>3.76</v>
      </c>
      <c r="D16" s="2" t="s">
        <v>121</v>
      </c>
      <c r="E16" s="2">
        <f t="shared" si="0"/>
        <v>11.28</v>
      </c>
    </row>
    <row r="17" spans="1:5" x14ac:dyDescent="0.25">
      <c r="A17" s="1" t="s">
        <v>17</v>
      </c>
      <c r="B17" s="2">
        <v>500</v>
      </c>
      <c r="C17" s="2">
        <v>1.17</v>
      </c>
      <c r="D17" s="2" t="s">
        <v>121</v>
      </c>
      <c r="E17" s="2">
        <f t="shared" si="0"/>
        <v>5.85</v>
      </c>
    </row>
    <row r="18" spans="1:5" x14ac:dyDescent="0.25">
      <c r="A18" s="1" t="s">
        <v>18</v>
      </c>
      <c r="B18" s="2">
        <v>150</v>
      </c>
      <c r="C18" s="2">
        <v>1.23</v>
      </c>
      <c r="D18" s="2" t="s">
        <v>121</v>
      </c>
      <c r="E18" s="2">
        <f t="shared" si="0"/>
        <v>1.845</v>
      </c>
    </row>
    <row r="19" spans="1:5" x14ac:dyDescent="0.25">
      <c r="A19" s="1" t="s">
        <v>19</v>
      </c>
      <c r="B19" s="2">
        <v>300</v>
      </c>
      <c r="C19" s="2">
        <v>1.29</v>
      </c>
      <c r="D19" s="2" t="s">
        <v>121</v>
      </c>
      <c r="E19" s="2">
        <f t="shared" si="0"/>
        <v>3.87</v>
      </c>
    </row>
    <row r="20" spans="1:5" x14ac:dyDescent="0.25">
      <c r="A20" s="1" t="s">
        <v>20</v>
      </c>
      <c r="B20" s="2">
        <v>150</v>
      </c>
      <c r="C20" s="2">
        <v>1.53</v>
      </c>
      <c r="D20" s="2" t="s">
        <v>121</v>
      </c>
      <c r="E20" s="2">
        <f t="shared" si="0"/>
        <v>2.2949999999999999</v>
      </c>
    </row>
    <row r="21" spans="1:5" x14ac:dyDescent="0.25">
      <c r="A21" s="1" t="s">
        <v>21</v>
      </c>
      <c r="B21" s="2">
        <v>250</v>
      </c>
      <c r="C21" s="2">
        <v>1.74</v>
      </c>
      <c r="D21" s="2" t="s">
        <v>121</v>
      </c>
      <c r="E21" s="2">
        <f t="shared" si="0"/>
        <v>4.3499999999999996</v>
      </c>
    </row>
    <row r="22" spans="1:5" x14ac:dyDescent="0.25">
      <c r="A22" s="1" t="s">
        <v>22</v>
      </c>
      <c r="B22" s="2">
        <v>150</v>
      </c>
      <c r="C22" s="2">
        <v>1.74</v>
      </c>
      <c r="D22" s="2" t="s">
        <v>121</v>
      </c>
      <c r="E22" s="2">
        <f t="shared" si="0"/>
        <v>2.61</v>
      </c>
    </row>
    <row r="23" spans="1:5" x14ac:dyDescent="0.25">
      <c r="A23" s="1" t="s">
        <v>23</v>
      </c>
      <c r="B23" s="2">
        <v>200</v>
      </c>
      <c r="C23" s="2">
        <v>2.4500000000000002</v>
      </c>
      <c r="D23" s="2" t="s">
        <v>121</v>
      </c>
      <c r="E23" s="2">
        <f t="shared" si="0"/>
        <v>4.9000000000000004</v>
      </c>
    </row>
    <row r="24" spans="1:5" x14ac:dyDescent="0.25">
      <c r="A24" s="1" t="s">
        <v>24</v>
      </c>
      <c r="B24" s="2">
        <v>100</v>
      </c>
      <c r="C24" s="2">
        <v>4.66</v>
      </c>
      <c r="D24" s="2" t="s">
        <v>121</v>
      </c>
      <c r="E24" s="2">
        <f t="shared" si="0"/>
        <v>4.66</v>
      </c>
    </row>
    <row r="25" spans="1:5" x14ac:dyDescent="0.25">
      <c r="A25" s="1" t="s">
        <v>26</v>
      </c>
      <c r="B25" s="2">
        <v>100</v>
      </c>
      <c r="C25" s="2">
        <v>2.12</v>
      </c>
      <c r="D25" s="2" t="s">
        <v>121</v>
      </c>
      <c r="E25" s="2">
        <f t="shared" si="0"/>
        <v>2.12</v>
      </c>
    </row>
    <row r="26" spans="1:5" x14ac:dyDescent="0.25">
      <c r="A26" s="1" t="s">
        <v>27</v>
      </c>
      <c r="B26" s="2">
        <v>150</v>
      </c>
      <c r="C26" s="2">
        <v>2.12</v>
      </c>
      <c r="D26" s="2" t="s">
        <v>121</v>
      </c>
      <c r="E26" s="2">
        <f t="shared" si="0"/>
        <v>3.18</v>
      </c>
    </row>
    <row r="27" spans="1:5" x14ac:dyDescent="0.25">
      <c r="A27" s="1" t="s">
        <v>28</v>
      </c>
      <c r="B27" s="2">
        <v>300</v>
      </c>
      <c r="C27" s="2">
        <v>2.12</v>
      </c>
      <c r="D27" s="2" t="s">
        <v>121</v>
      </c>
      <c r="E27" s="2">
        <f t="shared" si="0"/>
        <v>6.36</v>
      </c>
    </row>
    <row r="28" spans="1:5" x14ac:dyDescent="0.25">
      <c r="A28" s="1" t="s">
        <v>29</v>
      </c>
      <c r="B28" s="2">
        <v>100</v>
      </c>
      <c r="C28" s="2">
        <v>2.19</v>
      </c>
      <c r="D28" s="2" t="s">
        <v>121</v>
      </c>
      <c r="E28" s="2">
        <f t="shared" si="0"/>
        <v>2.19</v>
      </c>
    </row>
    <row r="29" spans="1:5" x14ac:dyDescent="0.25">
      <c r="A29" s="1" t="s">
        <v>30</v>
      </c>
      <c r="B29" s="2">
        <v>75</v>
      </c>
      <c r="C29" s="2">
        <v>2.2599999999999998</v>
      </c>
      <c r="D29" s="2" t="s">
        <v>121</v>
      </c>
      <c r="E29" s="2">
        <f t="shared" si="0"/>
        <v>1.6949999999999996</v>
      </c>
    </row>
    <row r="30" spans="1:5" x14ac:dyDescent="0.25">
      <c r="A30" s="1" t="s">
        <v>31</v>
      </c>
      <c r="B30" s="2">
        <v>100</v>
      </c>
      <c r="C30" s="2">
        <v>3.03</v>
      </c>
      <c r="D30" s="2" t="s">
        <v>121</v>
      </c>
      <c r="E30" s="2">
        <f t="shared" si="0"/>
        <v>3.03</v>
      </c>
    </row>
    <row r="31" spans="1:5" x14ac:dyDescent="0.25">
      <c r="A31" s="1" t="s">
        <v>32</v>
      </c>
      <c r="B31" s="2">
        <v>50</v>
      </c>
      <c r="C31" s="2">
        <v>3.15</v>
      </c>
      <c r="D31" s="2" t="s">
        <v>121</v>
      </c>
      <c r="E31" s="2">
        <f t="shared" si="0"/>
        <v>1.575</v>
      </c>
    </row>
    <row r="32" spans="1:5" x14ac:dyDescent="0.25">
      <c r="A32" s="1" t="s">
        <v>33</v>
      </c>
      <c r="B32" s="2">
        <v>100</v>
      </c>
      <c r="C32" s="2">
        <v>3.7240000000000002</v>
      </c>
      <c r="D32" s="2" t="s">
        <v>121</v>
      </c>
      <c r="E32" s="2">
        <f t="shared" si="0"/>
        <v>3.7240000000000002</v>
      </c>
    </row>
    <row r="33" spans="1:5" x14ac:dyDescent="0.25">
      <c r="A33" s="1" t="s">
        <v>34</v>
      </c>
      <c r="B33" s="2">
        <v>250</v>
      </c>
      <c r="C33" s="2">
        <v>3.92</v>
      </c>
      <c r="D33" s="2" t="s">
        <v>121</v>
      </c>
      <c r="E33" s="2">
        <f t="shared" si="0"/>
        <v>9.8000000000000007</v>
      </c>
    </row>
    <row r="34" spans="1:5" x14ac:dyDescent="0.25">
      <c r="A34" s="1" t="s">
        <v>35</v>
      </c>
      <c r="B34" s="2">
        <v>200</v>
      </c>
      <c r="C34" s="2">
        <v>4.2699999999999996</v>
      </c>
      <c r="D34" s="2" t="s">
        <v>121</v>
      </c>
      <c r="E34" s="2">
        <f t="shared" si="0"/>
        <v>8.5399999999999991</v>
      </c>
    </row>
    <row r="35" spans="1:5" x14ac:dyDescent="0.25">
      <c r="A35" s="1" t="s">
        <v>36</v>
      </c>
      <c r="B35" s="2">
        <v>50</v>
      </c>
      <c r="C35" s="2">
        <v>5.46</v>
      </c>
      <c r="D35" s="2" t="s">
        <v>121</v>
      </c>
      <c r="E35" s="2">
        <f t="shared" si="0"/>
        <v>2.73</v>
      </c>
    </row>
    <row r="36" spans="1:5" x14ac:dyDescent="0.25">
      <c r="A36" s="1" t="s">
        <v>118</v>
      </c>
      <c r="B36" s="2">
        <v>100</v>
      </c>
      <c r="C36" s="2">
        <v>5.66</v>
      </c>
      <c r="D36" s="2" t="s">
        <v>121</v>
      </c>
      <c r="E36" s="2">
        <f t="shared" si="0"/>
        <v>5.66</v>
      </c>
    </row>
    <row r="37" spans="1:5" x14ac:dyDescent="0.25">
      <c r="A37" s="1" t="s">
        <v>37</v>
      </c>
      <c r="B37" s="2">
        <v>150</v>
      </c>
      <c r="C37" s="2">
        <v>8.41</v>
      </c>
      <c r="D37" s="2" t="s">
        <v>121</v>
      </c>
      <c r="E37" s="2">
        <f t="shared" si="0"/>
        <v>12.615</v>
      </c>
    </row>
    <row r="38" spans="1:5" x14ac:dyDescent="0.25">
      <c r="A38" s="1" t="s">
        <v>38</v>
      </c>
      <c r="B38" s="2">
        <v>400</v>
      </c>
      <c r="C38" s="2">
        <v>11.94</v>
      </c>
      <c r="D38" s="2" t="s">
        <v>121</v>
      </c>
      <c r="E38" s="2">
        <f t="shared" si="0"/>
        <v>47.76</v>
      </c>
    </row>
    <row r="39" spans="1:5" x14ac:dyDescent="0.25">
      <c r="A39" s="1" t="s">
        <v>39</v>
      </c>
      <c r="B39" s="2">
        <v>150</v>
      </c>
      <c r="C39" s="2">
        <v>11.875</v>
      </c>
      <c r="D39" s="2" t="s">
        <v>121</v>
      </c>
      <c r="E39" s="2">
        <f t="shared" si="0"/>
        <v>17.8125</v>
      </c>
    </row>
    <row r="40" spans="1:5" x14ac:dyDescent="0.25">
      <c r="A40" s="1" t="s">
        <v>133</v>
      </c>
      <c r="B40" s="2">
        <v>50</v>
      </c>
      <c r="C40" s="2">
        <v>21.71</v>
      </c>
      <c r="D40" s="2" t="s">
        <v>121</v>
      </c>
      <c r="E40" s="2">
        <f t="shared" si="0"/>
        <v>10.855</v>
      </c>
    </row>
    <row r="41" spans="1:5" x14ac:dyDescent="0.25">
      <c r="A41" s="1" t="s">
        <v>119</v>
      </c>
      <c r="B41" s="2">
        <v>12.24</v>
      </c>
      <c r="C41" s="2">
        <v>35.24</v>
      </c>
      <c r="D41" s="2" t="s">
        <v>121</v>
      </c>
      <c r="E41" s="2">
        <f>B41*C41/100</f>
        <v>4.3133759999999999</v>
      </c>
    </row>
    <row r="42" spans="1:5" x14ac:dyDescent="0.25">
      <c r="A42" s="1" t="s">
        <v>44</v>
      </c>
      <c r="B42" s="2">
        <v>30</v>
      </c>
      <c r="C42" s="2">
        <v>35.24</v>
      </c>
      <c r="D42" s="2" t="s">
        <v>121</v>
      </c>
      <c r="E42" s="2">
        <f>B42*C42/100</f>
        <v>10.572000000000001</v>
      </c>
    </row>
    <row r="43" spans="1:5" x14ac:dyDescent="0.25">
      <c r="A43" s="1" t="s">
        <v>120</v>
      </c>
      <c r="B43" s="2">
        <v>190</v>
      </c>
      <c r="C43" s="2">
        <v>13.15</v>
      </c>
      <c r="D43" s="2" t="s">
        <v>121</v>
      </c>
      <c r="E43" s="2">
        <f>B43*C43/100</f>
        <v>24.984999999999999</v>
      </c>
    </row>
    <row r="44" spans="1:5" x14ac:dyDescent="0.25">
      <c r="A44" s="1" t="s">
        <v>122</v>
      </c>
      <c r="B44" s="2">
        <v>180</v>
      </c>
      <c r="C44" s="2">
        <v>15.56</v>
      </c>
      <c r="D44" s="2" t="s">
        <v>121</v>
      </c>
      <c r="E44" s="2">
        <f t="shared" ref="E44:E46" si="1">B44*C44/100</f>
        <v>28.008000000000003</v>
      </c>
    </row>
    <row r="45" spans="1:5" x14ac:dyDescent="0.25">
      <c r="A45" s="1" t="s">
        <v>123</v>
      </c>
      <c r="B45" s="2">
        <v>190</v>
      </c>
      <c r="C45" s="2">
        <v>28.44</v>
      </c>
      <c r="D45" s="2" t="s">
        <v>121</v>
      </c>
      <c r="E45" s="2">
        <f t="shared" si="1"/>
        <v>54.036000000000001</v>
      </c>
    </row>
    <row r="46" spans="1:5" x14ac:dyDescent="0.25">
      <c r="A46" s="1" t="s">
        <v>124</v>
      </c>
      <c r="B46" s="2">
        <v>80</v>
      </c>
      <c r="C46" s="2">
        <v>10.54</v>
      </c>
      <c r="D46" s="2" t="s">
        <v>121</v>
      </c>
      <c r="E46" s="2">
        <f t="shared" si="1"/>
        <v>8.4319999999999986</v>
      </c>
    </row>
    <row r="47" spans="1:5" x14ac:dyDescent="0.25">
      <c r="A47" s="1" t="s">
        <v>125</v>
      </c>
      <c r="B47" s="2">
        <v>0</v>
      </c>
      <c r="C47" s="2">
        <v>0.67</v>
      </c>
      <c r="D47" s="2" t="s">
        <v>81</v>
      </c>
      <c r="E47" s="2">
        <f>B47*C47</f>
        <v>0</v>
      </c>
    </row>
    <row r="48" spans="1:5" x14ac:dyDescent="0.25">
      <c r="A48" s="1" t="s">
        <v>135</v>
      </c>
      <c r="B48" s="2">
        <v>50</v>
      </c>
      <c r="C48" s="2"/>
      <c r="D48" s="2" t="s">
        <v>121</v>
      </c>
      <c r="E48" s="2">
        <f>B48*C48/100</f>
        <v>0</v>
      </c>
    </row>
    <row r="49" spans="1:5" x14ac:dyDescent="0.25">
      <c r="A49" s="1" t="s">
        <v>47</v>
      </c>
      <c r="B49" s="2">
        <v>395</v>
      </c>
      <c r="C49" s="2">
        <v>2.1</v>
      </c>
      <c r="D49" s="2" t="s">
        <v>121</v>
      </c>
      <c r="E49" s="2">
        <f>B49*C49/100</f>
        <v>8.2949999999999999</v>
      </c>
    </row>
    <row r="50" spans="1:5" x14ac:dyDescent="0.25">
      <c r="A50" s="1" t="s">
        <v>40</v>
      </c>
      <c r="B50" s="2">
        <v>5</v>
      </c>
      <c r="C50" s="2">
        <v>5.056</v>
      </c>
      <c r="D50" s="2" t="s">
        <v>83</v>
      </c>
      <c r="E50" s="2">
        <v>25.28</v>
      </c>
    </row>
    <row r="51" spans="1:5" x14ac:dyDescent="0.25">
      <c r="A51" s="1" t="s">
        <v>41</v>
      </c>
      <c r="B51" s="2">
        <v>1</v>
      </c>
      <c r="C51" s="2">
        <v>1.6739999999999999</v>
      </c>
      <c r="D51" s="2" t="s">
        <v>83</v>
      </c>
      <c r="E51" s="2">
        <v>1.6739999999999999</v>
      </c>
    </row>
    <row r="52" spans="1:5" x14ac:dyDescent="0.25">
      <c r="A52" s="1" t="s">
        <v>42</v>
      </c>
      <c r="B52" s="2">
        <v>300</v>
      </c>
      <c r="C52" s="2">
        <v>0.1764</v>
      </c>
      <c r="D52" s="2" t="s">
        <v>81</v>
      </c>
      <c r="E52" s="2">
        <f>B52*C52</f>
        <v>52.92</v>
      </c>
    </row>
    <row r="53" spans="1:5" x14ac:dyDescent="0.25">
      <c r="A53" s="1" t="s">
        <v>143</v>
      </c>
      <c r="B53" s="2">
        <v>50</v>
      </c>
      <c r="C53" s="2">
        <v>0.19620000000000001</v>
      </c>
      <c r="D53" s="2" t="s">
        <v>81</v>
      </c>
      <c r="E53" s="2">
        <f>B53*C53</f>
        <v>9.81</v>
      </c>
    </row>
    <row r="54" spans="1:5" x14ac:dyDescent="0.25">
      <c r="A54" s="1" t="s">
        <v>43</v>
      </c>
      <c r="B54" s="2">
        <v>15</v>
      </c>
      <c r="C54" s="2">
        <v>0.30580000000000002</v>
      </c>
      <c r="D54" s="2" t="s">
        <v>81</v>
      </c>
      <c r="E54" s="2">
        <f>B54*C54</f>
        <v>4.5870000000000006</v>
      </c>
    </row>
    <row r="55" spans="1:5" x14ac:dyDescent="0.25">
      <c r="A55" s="1" t="s">
        <v>46</v>
      </c>
      <c r="B55" s="2">
        <v>10</v>
      </c>
      <c r="C55" s="2">
        <v>204.36</v>
      </c>
      <c r="D55" s="2" t="s">
        <v>121</v>
      </c>
      <c r="E55" s="2">
        <f>B55*C55/100</f>
        <v>20.436</v>
      </c>
    </row>
    <row r="56" spans="1:5" x14ac:dyDescent="0.25">
      <c r="A56" s="1" t="s">
        <v>51</v>
      </c>
      <c r="B56" s="2">
        <v>100</v>
      </c>
      <c r="C56" s="2">
        <v>4.0399999999999998E-2</v>
      </c>
      <c r="D56" s="2" t="s">
        <v>121</v>
      </c>
      <c r="E56" s="2">
        <f>B56*C56</f>
        <v>4.04</v>
      </c>
    </row>
    <row r="57" spans="1:5" x14ac:dyDescent="0.25">
      <c r="A57" s="1" t="s">
        <v>50</v>
      </c>
      <c r="B57" s="2">
        <v>200</v>
      </c>
      <c r="C57" s="2">
        <v>4.6900000000000004</v>
      </c>
      <c r="D57" s="2" t="s">
        <v>121</v>
      </c>
      <c r="E57" s="2">
        <f>B57*C57/100</f>
        <v>9.3800000000000008</v>
      </c>
    </row>
    <row r="58" spans="1:5" x14ac:dyDescent="0.25">
      <c r="A58" s="1" t="s">
        <v>140</v>
      </c>
      <c r="B58" s="2">
        <v>350</v>
      </c>
      <c r="C58" s="2">
        <v>7.44</v>
      </c>
      <c r="D58" s="2" t="s">
        <v>121</v>
      </c>
      <c r="E58" s="2">
        <f>B58*C58/100</f>
        <v>26.04</v>
      </c>
    </row>
    <row r="59" spans="1:5" x14ac:dyDescent="0.25">
      <c r="A59" s="1" t="s">
        <v>48</v>
      </c>
      <c r="B59" s="2">
        <v>100</v>
      </c>
      <c r="C59" s="2">
        <v>0.14000000000000001</v>
      </c>
      <c r="D59" s="2" t="s">
        <v>81</v>
      </c>
      <c r="E59" s="2">
        <f>B59*C59</f>
        <v>14.000000000000002</v>
      </c>
    </row>
    <row r="60" spans="1:5" x14ac:dyDescent="0.25">
      <c r="A60" s="1" t="s">
        <v>49</v>
      </c>
      <c r="B60" s="2">
        <v>121</v>
      </c>
      <c r="C60" s="2">
        <v>3.1E-2</v>
      </c>
      <c r="D60" s="2" t="s">
        <v>81</v>
      </c>
      <c r="E60" s="2">
        <f>B60*C60</f>
        <v>3.7509999999999999</v>
      </c>
    </row>
    <row r="61" spans="1:5" x14ac:dyDescent="0.25">
      <c r="A61" s="1" t="s">
        <v>239</v>
      </c>
      <c r="B61" s="2">
        <v>23</v>
      </c>
      <c r="C61" s="2">
        <v>0.38</v>
      </c>
      <c r="D61" s="2" t="s">
        <v>81</v>
      </c>
      <c r="E61" s="2">
        <f>B61*C61</f>
        <v>8.74</v>
      </c>
    </row>
    <row r="62" spans="1:5" x14ac:dyDescent="0.25">
      <c r="A62" s="1" t="s">
        <v>53</v>
      </c>
      <c r="B62" s="2">
        <v>5.5</v>
      </c>
      <c r="C62" s="2">
        <v>1.4</v>
      </c>
      <c r="D62" s="2" t="s">
        <v>84</v>
      </c>
      <c r="E62" s="2">
        <f>B62*C62</f>
        <v>7.6999999999999993</v>
      </c>
    </row>
    <row r="63" spans="1:5" x14ac:dyDescent="0.25">
      <c r="A63" s="1"/>
      <c r="B63" s="1"/>
      <c r="C63" s="1"/>
      <c r="D63" s="1"/>
      <c r="E63" s="1">
        <f>SUM(E3:E62)</f>
        <v>563.065876</v>
      </c>
    </row>
    <row r="69" spans="1:5" ht="26.25" x14ac:dyDescent="0.25">
      <c r="A69" s="29" t="s">
        <v>54</v>
      </c>
      <c r="B69" s="30"/>
      <c r="C69" s="30"/>
      <c r="D69" s="30"/>
      <c r="E69" s="31"/>
    </row>
    <row r="70" spans="1:5" x14ac:dyDescent="0.25">
      <c r="A70" s="2" t="s">
        <v>0</v>
      </c>
      <c r="B70" s="2" t="s">
        <v>3</v>
      </c>
      <c r="C70" s="2" t="s">
        <v>56</v>
      </c>
      <c r="D70" s="2" t="s">
        <v>81</v>
      </c>
      <c r="E70" s="2" t="s">
        <v>1</v>
      </c>
    </row>
    <row r="71" spans="1:5" x14ac:dyDescent="0.25">
      <c r="A71" s="1" t="s">
        <v>102</v>
      </c>
      <c r="B71" s="2">
        <v>3</v>
      </c>
      <c r="C71" s="2">
        <v>2.92</v>
      </c>
      <c r="D71" s="2" t="s">
        <v>82</v>
      </c>
      <c r="E71" s="2">
        <f>B71*C71</f>
        <v>8.76</v>
      </c>
    </row>
    <row r="72" spans="1:5" x14ac:dyDescent="0.25">
      <c r="A72" s="1" t="s">
        <v>103</v>
      </c>
      <c r="B72" s="2">
        <v>16</v>
      </c>
      <c r="C72" s="2">
        <v>2.76</v>
      </c>
      <c r="D72" s="2" t="s">
        <v>82</v>
      </c>
      <c r="E72" s="2">
        <f t="shared" ref="E72:E86" si="2">B72*C72</f>
        <v>44.16</v>
      </c>
    </row>
    <row r="73" spans="1:5" x14ac:dyDescent="0.25">
      <c r="A73" s="1" t="s">
        <v>104</v>
      </c>
      <c r="B73" s="2">
        <v>0</v>
      </c>
      <c r="C73" s="2">
        <v>2.64</v>
      </c>
      <c r="D73" s="2" t="s">
        <v>82</v>
      </c>
      <c r="E73" s="2">
        <f t="shared" si="2"/>
        <v>0</v>
      </c>
    </row>
    <row r="74" spans="1:5" x14ac:dyDescent="0.25">
      <c r="A74" s="1" t="s">
        <v>105</v>
      </c>
      <c r="B74" s="2">
        <v>5</v>
      </c>
      <c r="C74" s="2">
        <v>2.64</v>
      </c>
      <c r="D74" s="2" t="s">
        <v>82</v>
      </c>
      <c r="E74" s="2">
        <f t="shared" si="2"/>
        <v>13.200000000000001</v>
      </c>
    </row>
    <row r="75" spans="1:5" x14ac:dyDescent="0.25">
      <c r="A75" s="1" t="s">
        <v>106</v>
      </c>
      <c r="B75" s="2">
        <v>2</v>
      </c>
      <c r="C75" s="2">
        <v>15</v>
      </c>
      <c r="D75" s="2" t="s">
        <v>82</v>
      </c>
      <c r="E75" s="2">
        <f t="shared" si="2"/>
        <v>30</v>
      </c>
    </row>
    <row r="76" spans="1:5" x14ac:dyDescent="0.25">
      <c r="A76" s="1" t="s">
        <v>107</v>
      </c>
      <c r="B76" s="2">
        <v>3</v>
      </c>
      <c r="C76" s="2">
        <v>15</v>
      </c>
      <c r="D76" s="2" t="s">
        <v>82</v>
      </c>
      <c r="E76" s="2">
        <f t="shared" si="2"/>
        <v>45</v>
      </c>
    </row>
    <row r="77" spans="1:5" x14ac:dyDescent="0.25">
      <c r="A77" s="1" t="s">
        <v>108</v>
      </c>
      <c r="B77" s="2">
        <v>4</v>
      </c>
      <c r="C77" s="2">
        <v>15</v>
      </c>
      <c r="D77" s="2" t="s">
        <v>82</v>
      </c>
      <c r="E77" s="2">
        <f t="shared" si="2"/>
        <v>60</v>
      </c>
    </row>
    <row r="78" spans="1:5" x14ac:dyDescent="0.25">
      <c r="A78" s="1" t="s">
        <v>147</v>
      </c>
      <c r="B78" s="2">
        <v>1</v>
      </c>
      <c r="C78" s="2">
        <v>15</v>
      </c>
      <c r="D78" s="2" t="s">
        <v>82</v>
      </c>
      <c r="E78" s="2">
        <f t="shared" si="2"/>
        <v>15</v>
      </c>
    </row>
    <row r="79" spans="1:5" x14ac:dyDescent="0.25">
      <c r="A79" s="1" t="s">
        <v>59</v>
      </c>
      <c r="B79" s="2">
        <v>10</v>
      </c>
      <c r="C79" s="2">
        <v>4</v>
      </c>
      <c r="D79" s="2" t="s">
        <v>82</v>
      </c>
      <c r="E79" s="2">
        <f t="shared" si="2"/>
        <v>40</v>
      </c>
    </row>
    <row r="80" spans="1:5" x14ac:dyDescent="0.25">
      <c r="A80" s="1" t="s">
        <v>60</v>
      </c>
      <c r="B80" s="2">
        <v>10</v>
      </c>
      <c r="C80" s="2">
        <v>4</v>
      </c>
      <c r="D80" s="2" t="s">
        <v>82</v>
      </c>
      <c r="E80" s="2">
        <f t="shared" si="2"/>
        <v>40</v>
      </c>
    </row>
    <row r="81" spans="1:5" x14ac:dyDescent="0.25">
      <c r="A81" s="1" t="s">
        <v>61</v>
      </c>
      <c r="B81" s="2">
        <v>3</v>
      </c>
      <c r="C81" s="2">
        <v>2</v>
      </c>
      <c r="D81" s="2" t="s">
        <v>82</v>
      </c>
      <c r="E81" s="2">
        <f t="shared" si="2"/>
        <v>6</v>
      </c>
    </row>
    <row r="82" spans="1:5" x14ac:dyDescent="0.25">
      <c r="A82" s="1" t="s">
        <v>57</v>
      </c>
      <c r="B82" s="2">
        <v>2</v>
      </c>
      <c r="C82" s="2">
        <v>4.92</v>
      </c>
      <c r="D82" s="2" t="s">
        <v>82</v>
      </c>
      <c r="E82" s="2">
        <f t="shared" si="2"/>
        <v>9.84</v>
      </c>
    </row>
    <row r="83" spans="1:5" x14ac:dyDescent="0.25">
      <c r="A83" s="1" t="s">
        <v>58</v>
      </c>
      <c r="B83" s="2">
        <v>90</v>
      </c>
      <c r="C83" s="2">
        <v>8.5400000000000004E-2</v>
      </c>
      <c r="D83" s="2" t="s">
        <v>82</v>
      </c>
      <c r="E83" s="2">
        <f t="shared" si="2"/>
        <v>7.6859999999999999</v>
      </c>
    </row>
    <row r="84" spans="1:5" x14ac:dyDescent="0.25">
      <c r="A84" s="1" t="s">
        <v>144</v>
      </c>
      <c r="B84" s="2">
        <v>1</v>
      </c>
      <c r="C84" s="2">
        <v>1.9419999999999999</v>
      </c>
      <c r="D84" s="2" t="s">
        <v>85</v>
      </c>
      <c r="E84" s="2">
        <f t="shared" si="2"/>
        <v>1.9419999999999999</v>
      </c>
    </row>
    <row r="85" spans="1:5" x14ac:dyDescent="0.25">
      <c r="A85" s="1" t="s">
        <v>145</v>
      </c>
      <c r="B85" s="2">
        <v>4.5</v>
      </c>
      <c r="C85" s="2">
        <v>2.92</v>
      </c>
      <c r="D85" s="2" t="s">
        <v>85</v>
      </c>
      <c r="E85" s="2">
        <f t="shared" si="2"/>
        <v>13.14</v>
      </c>
    </row>
    <row r="86" spans="1:5" x14ac:dyDescent="0.25">
      <c r="A86" s="1" t="s">
        <v>146</v>
      </c>
      <c r="B86" s="2">
        <v>2</v>
      </c>
      <c r="C86" s="2">
        <v>3.72</v>
      </c>
      <c r="D86" s="2" t="s">
        <v>85</v>
      </c>
      <c r="E86" s="2">
        <f t="shared" si="2"/>
        <v>7.44</v>
      </c>
    </row>
    <row r="87" spans="1:5" x14ac:dyDescent="0.25">
      <c r="A87" s="5" t="s">
        <v>75</v>
      </c>
      <c r="B87" s="10">
        <v>409</v>
      </c>
      <c r="C87" s="6">
        <v>46.48</v>
      </c>
      <c r="D87" s="6" t="s">
        <v>152</v>
      </c>
      <c r="E87" s="6">
        <f>B87*C87/1000</f>
        <v>19.01032</v>
      </c>
    </row>
    <row r="88" spans="1:5" x14ac:dyDescent="0.25">
      <c r="A88" s="5" t="s">
        <v>148</v>
      </c>
      <c r="B88" s="2">
        <v>1000</v>
      </c>
      <c r="C88" s="2">
        <v>39.700000000000003</v>
      </c>
      <c r="D88" s="6" t="s">
        <v>152</v>
      </c>
      <c r="E88" s="6">
        <f>B88*C88/1000</f>
        <v>39.700000000000003</v>
      </c>
    </row>
    <row r="89" spans="1:5" x14ac:dyDescent="0.25">
      <c r="A89" s="5" t="s">
        <v>149</v>
      </c>
      <c r="B89" s="2">
        <v>1000</v>
      </c>
      <c r="C89" s="2">
        <v>37.659999999999997</v>
      </c>
      <c r="D89" s="6" t="s">
        <v>152</v>
      </c>
      <c r="E89" s="6">
        <f t="shared" ref="E89:E91" si="3">B89*C89/1000</f>
        <v>37.659999999999997</v>
      </c>
    </row>
    <row r="90" spans="1:5" x14ac:dyDescent="0.25">
      <c r="A90" s="5" t="s">
        <v>150</v>
      </c>
      <c r="B90" s="2">
        <v>1000</v>
      </c>
      <c r="C90" s="2">
        <v>36.56</v>
      </c>
      <c r="D90" s="6" t="s">
        <v>152</v>
      </c>
      <c r="E90" s="6">
        <f t="shared" si="3"/>
        <v>36.56</v>
      </c>
    </row>
    <row r="91" spans="1:5" x14ac:dyDescent="0.25">
      <c r="A91" s="1" t="s">
        <v>76</v>
      </c>
      <c r="B91" s="2">
        <v>315</v>
      </c>
      <c r="C91" s="2">
        <v>35.46</v>
      </c>
      <c r="D91" s="6" t="s">
        <v>152</v>
      </c>
      <c r="E91" s="6">
        <f t="shared" si="3"/>
        <v>11.1699</v>
      </c>
    </row>
    <row r="92" spans="1:5" x14ac:dyDescent="0.25">
      <c r="A92" s="1" t="s">
        <v>151</v>
      </c>
      <c r="B92" s="2">
        <v>1</v>
      </c>
      <c r="C92" s="2">
        <v>28.36</v>
      </c>
      <c r="D92" s="2" t="s">
        <v>81</v>
      </c>
      <c r="E92" s="6">
        <f>B92*C92</f>
        <v>28.36</v>
      </c>
    </row>
    <row r="93" spans="1:5" x14ac:dyDescent="0.25">
      <c r="A93" s="1" t="s">
        <v>153</v>
      </c>
      <c r="B93" s="2">
        <v>3</v>
      </c>
      <c r="C93" s="2">
        <v>6.29</v>
      </c>
      <c r="D93" s="2" t="s">
        <v>81</v>
      </c>
      <c r="E93" s="6">
        <f t="shared" ref="E93:E94" si="4">B93*C93</f>
        <v>18.87</v>
      </c>
    </row>
    <row r="94" spans="1:5" x14ac:dyDescent="0.25">
      <c r="A94" s="1" t="s">
        <v>154</v>
      </c>
      <c r="B94" s="2">
        <v>4</v>
      </c>
      <c r="C94" s="2">
        <v>14.79</v>
      </c>
      <c r="D94" s="2" t="s">
        <v>81</v>
      </c>
      <c r="E94" s="6">
        <f t="shared" si="4"/>
        <v>59.16</v>
      </c>
    </row>
    <row r="95" spans="1:5" x14ac:dyDescent="0.25">
      <c r="A95" s="1"/>
      <c r="B95" s="2"/>
      <c r="C95" s="2"/>
      <c r="D95" s="2"/>
      <c r="E95" s="2">
        <f>SUM(E71:E94)</f>
        <v>592.6582199999998</v>
      </c>
    </row>
    <row r="98" spans="1:5" ht="26.25" x14ac:dyDescent="0.25">
      <c r="A98" s="29" t="s">
        <v>55</v>
      </c>
      <c r="B98" s="30"/>
      <c r="C98" s="30"/>
      <c r="D98" s="30"/>
      <c r="E98" s="31"/>
    </row>
    <row r="99" spans="1:5" x14ac:dyDescent="0.25">
      <c r="A99" s="2" t="s">
        <v>0</v>
      </c>
      <c r="B99" s="2" t="s">
        <v>3</v>
      </c>
      <c r="C99" s="2" t="s">
        <v>56</v>
      </c>
      <c r="D99" s="2" t="s">
        <v>81</v>
      </c>
      <c r="E99" s="2" t="s">
        <v>1</v>
      </c>
    </row>
    <row r="100" spans="1:5" x14ac:dyDescent="0.25">
      <c r="A100" s="1" t="s">
        <v>62</v>
      </c>
      <c r="B100" s="2">
        <v>8</v>
      </c>
      <c r="C100" s="2">
        <v>8.76</v>
      </c>
      <c r="D100" s="2" t="s">
        <v>87</v>
      </c>
      <c r="E100" s="2">
        <f t="shared" ref="E100:E107" si="5">B100*C100</f>
        <v>70.08</v>
      </c>
    </row>
    <row r="101" spans="1:5" x14ac:dyDescent="0.25">
      <c r="A101" s="1" t="s">
        <v>159</v>
      </c>
      <c r="B101" s="2">
        <v>6</v>
      </c>
      <c r="C101" s="2">
        <v>6.93</v>
      </c>
      <c r="D101" s="2" t="s">
        <v>87</v>
      </c>
      <c r="E101" s="2">
        <f t="shared" si="5"/>
        <v>41.58</v>
      </c>
    </row>
    <row r="102" spans="1:5" x14ac:dyDescent="0.25">
      <c r="A102" s="1" t="s">
        <v>64</v>
      </c>
      <c r="B102" s="2">
        <v>11</v>
      </c>
      <c r="C102" s="2">
        <v>3.34</v>
      </c>
      <c r="D102" s="2" t="s">
        <v>87</v>
      </c>
      <c r="E102" s="2">
        <f t="shared" si="5"/>
        <v>36.739999999999995</v>
      </c>
    </row>
    <row r="103" spans="1:5" x14ac:dyDescent="0.25">
      <c r="A103" s="1" t="s">
        <v>161</v>
      </c>
      <c r="B103" s="2">
        <v>11</v>
      </c>
      <c r="C103" s="2">
        <v>1.07</v>
      </c>
      <c r="D103" s="2" t="s">
        <v>87</v>
      </c>
      <c r="E103" s="2">
        <f t="shared" si="5"/>
        <v>11.770000000000001</v>
      </c>
    </row>
    <row r="104" spans="1:5" x14ac:dyDescent="0.25">
      <c r="A104" s="1" t="s">
        <v>167</v>
      </c>
      <c r="B104" s="2">
        <v>2.25</v>
      </c>
      <c r="C104" s="2">
        <v>7.13</v>
      </c>
      <c r="D104" s="2" t="s">
        <v>83</v>
      </c>
      <c r="E104" s="2">
        <f t="shared" si="5"/>
        <v>16.0425</v>
      </c>
    </row>
    <row r="105" spans="1:5" x14ac:dyDescent="0.25">
      <c r="A105" s="1" t="s">
        <v>168</v>
      </c>
      <c r="B105" s="2">
        <v>4</v>
      </c>
      <c r="C105" s="2">
        <v>5.24</v>
      </c>
      <c r="D105" s="2" t="s">
        <v>83</v>
      </c>
      <c r="E105" s="2">
        <f t="shared" si="5"/>
        <v>20.96</v>
      </c>
    </row>
    <row r="106" spans="1:5" x14ac:dyDescent="0.25">
      <c r="A106" s="1" t="s">
        <v>169</v>
      </c>
      <c r="B106" s="2">
        <v>1</v>
      </c>
      <c r="C106" s="2">
        <v>20.11</v>
      </c>
      <c r="D106" s="2" t="s">
        <v>170</v>
      </c>
      <c r="E106" s="2">
        <f t="shared" si="5"/>
        <v>20.11</v>
      </c>
    </row>
    <row r="107" spans="1:5" x14ac:dyDescent="0.25">
      <c r="A107" s="1" t="s">
        <v>171</v>
      </c>
      <c r="B107" s="2">
        <v>1</v>
      </c>
      <c r="C107" s="2">
        <v>17.3</v>
      </c>
      <c r="D107" s="2" t="s">
        <v>86</v>
      </c>
      <c r="E107" s="2">
        <f t="shared" si="5"/>
        <v>17.3</v>
      </c>
    </row>
    <row r="108" spans="1:5" x14ac:dyDescent="0.25">
      <c r="A108" s="1"/>
      <c r="B108" s="1"/>
      <c r="C108" s="1"/>
      <c r="D108" s="1"/>
      <c r="E108" s="1">
        <f>SUM(E100:E107)</f>
        <v>234.58249999999998</v>
      </c>
    </row>
    <row r="111" spans="1:5" ht="26.25" x14ac:dyDescent="0.25">
      <c r="A111" s="29" t="s">
        <v>172</v>
      </c>
      <c r="B111" s="30"/>
      <c r="C111" s="30"/>
      <c r="D111" s="30"/>
      <c r="E111" s="31"/>
    </row>
    <row r="112" spans="1:5" x14ac:dyDescent="0.25">
      <c r="A112" s="2" t="s">
        <v>0</v>
      </c>
      <c r="B112" s="2" t="s">
        <v>3</v>
      </c>
      <c r="C112" s="2" t="s">
        <v>56</v>
      </c>
      <c r="D112" s="2" t="s">
        <v>81</v>
      </c>
      <c r="E112" s="2" t="s">
        <v>1</v>
      </c>
    </row>
    <row r="113" spans="1:5" x14ac:dyDescent="0.25">
      <c r="A113" s="1" t="s">
        <v>80</v>
      </c>
      <c r="B113" s="2">
        <v>5.7960000000000003</v>
      </c>
      <c r="C113" s="2">
        <v>6.44</v>
      </c>
      <c r="D113" s="2" t="s">
        <v>88</v>
      </c>
      <c r="E113" s="2">
        <f>B113*C113</f>
        <v>37.326240000000006</v>
      </c>
    </row>
    <row r="114" spans="1:5" x14ac:dyDescent="0.25">
      <c r="A114" s="1" t="s">
        <v>174</v>
      </c>
      <c r="B114" s="2">
        <v>5.7960000000000003</v>
      </c>
      <c r="C114" s="2">
        <v>9.42</v>
      </c>
      <c r="D114" s="2" t="s">
        <v>88</v>
      </c>
      <c r="E114" s="2">
        <f>B114*C114</f>
        <v>54.598320000000001</v>
      </c>
    </row>
    <row r="115" spans="1:5" x14ac:dyDescent="0.25">
      <c r="A115" s="1" t="s">
        <v>175</v>
      </c>
      <c r="B115" s="2">
        <v>17.388000000000002</v>
      </c>
      <c r="C115" s="2">
        <v>5.2</v>
      </c>
      <c r="D115" s="2" t="s">
        <v>88</v>
      </c>
      <c r="E115" s="2">
        <f t="shared" ref="E115" si="6">B115*C115</f>
        <v>90.417600000000007</v>
      </c>
    </row>
    <row r="116" spans="1:5" x14ac:dyDescent="0.25">
      <c r="A116" s="1" t="s">
        <v>176</v>
      </c>
      <c r="B116" s="2">
        <v>5.7960000000000003</v>
      </c>
      <c r="C116" s="2">
        <v>5.46</v>
      </c>
      <c r="D116" s="2" t="s">
        <v>88</v>
      </c>
      <c r="E116" s="2">
        <f>B116*C116</f>
        <v>31.646160000000002</v>
      </c>
    </row>
    <row r="117" spans="1:5" x14ac:dyDescent="0.25">
      <c r="A117" s="1" t="s">
        <v>177</v>
      </c>
      <c r="B117" s="2">
        <v>11.592000000000001</v>
      </c>
      <c r="C117" s="2">
        <v>5.35</v>
      </c>
      <c r="D117" s="2" t="s">
        <v>88</v>
      </c>
      <c r="E117" s="2">
        <f>B117*C117</f>
        <v>62.017199999999995</v>
      </c>
    </row>
    <row r="118" spans="1:5" x14ac:dyDescent="0.25">
      <c r="A118" s="1"/>
      <c r="B118" s="1"/>
      <c r="C118" s="1"/>
      <c r="D118" s="1"/>
      <c r="E118" s="1">
        <f>SUM(E113:E117)</f>
        <v>276.00552000000005</v>
      </c>
    </row>
    <row r="129" spans="1:5" ht="26.25" x14ac:dyDescent="0.25">
      <c r="A129" s="29" t="s">
        <v>110</v>
      </c>
      <c r="B129" s="30"/>
      <c r="C129" s="30"/>
      <c r="D129" s="30"/>
      <c r="E129" s="31"/>
    </row>
    <row r="130" spans="1:5" x14ac:dyDescent="0.25">
      <c r="A130" s="2" t="s">
        <v>0</v>
      </c>
      <c r="B130" s="2" t="s">
        <v>3</v>
      </c>
      <c r="C130" s="2" t="s">
        <v>56</v>
      </c>
      <c r="D130" s="2" t="s">
        <v>81</v>
      </c>
      <c r="E130" s="2" t="s">
        <v>1</v>
      </c>
    </row>
    <row r="131" spans="1:5" x14ac:dyDescent="0.25">
      <c r="A131" s="1" t="s">
        <v>216</v>
      </c>
      <c r="B131" s="2">
        <v>277</v>
      </c>
      <c r="C131" s="2">
        <v>2.2400000000000002</v>
      </c>
      <c r="D131" s="2" t="s">
        <v>81</v>
      </c>
      <c r="E131" s="2">
        <f t="shared" ref="E131:E150" si="7">B131*C131</f>
        <v>620.48</v>
      </c>
    </row>
    <row r="132" spans="1:5" x14ac:dyDescent="0.25">
      <c r="A132" s="1" t="s">
        <v>224</v>
      </c>
      <c r="B132" s="2">
        <v>22</v>
      </c>
      <c r="C132" s="2">
        <v>0.54</v>
      </c>
      <c r="D132" s="2" t="s">
        <v>81</v>
      </c>
      <c r="E132" s="2">
        <f t="shared" si="7"/>
        <v>11.88</v>
      </c>
    </row>
    <row r="133" spans="1:5" x14ac:dyDescent="0.25">
      <c r="A133" s="1" t="s">
        <v>225</v>
      </c>
      <c r="B133" s="2">
        <v>20</v>
      </c>
      <c r="C133" s="2">
        <v>0.79</v>
      </c>
      <c r="D133" s="2" t="s">
        <v>81</v>
      </c>
      <c r="E133" s="2">
        <f t="shared" si="7"/>
        <v>15.8</v>
      </c>
    </row>
    <row r="134" spans="1:5" x14ac:dyDescent="0.25">
      <c r="A134" s="1" t="s">
        <v>226</v>
      </c>
      <c r="B134" s="2">
        <v>524</v>
      </c>
      <c r="C134" s="2">
        <v>0.38</v>
      </c>
      <c r="D134" s="2" t="s">
        <v>81</v>
      </c>
      <c r="E134" s="2">
        <f t="shared" si="7"/>
        <v>199.12</v>
      </c>
    </row>
    <row r="135" spans="1:5" x14ac:dyDescent="0.25">
      <c r="A135" s="1" t="s">
        <v>229</v>
      </c>
      <c r="B135" s="2">
        <v>2</v>
      </c>
      <c r="C135" s="2">
        <v>1.66</v>
      </c>
      <c r="D135" s="2" t="s">
        <v>81</v>
      </c>
      <c r="E135" s="2">
        <f t="shared" si="7"/>
        <v>3.32</v>
      </c>
    </row>
    <row r="136" spans="1:5" x14ac:dyDescent="0.25">
      <c r="A136" s="1" t="s">
        <v>230</v>
      </c>
      <c r="B136" s="2">
        <v>8</v>
      </c>
      <c r="C136" s="2">
        <v>0.78</v>
      </c>
      <c r="D136" s="2" t="s">
        <v>81</v>
      </c>
      <c r="E136" s="2">
        <f t="shared" si="7"/>
        <v>6.24</v>
      </c>
    </row>
    <row r="137" spans="1:5" x14ac:dyDescent="0.25">
      <c r="A137" s="1" t="s">
        <v>231</v>
      </c>
      <c r="B137" s="2">
        <v>6</v>
      </c>
      <c r="C137" s="2">
        <v>31.3</v>
      </c>
      <c r="D137" s="2" t="s">
        <v>81</v>
      </c>
      <c r="E137" s="2">
        <f t="shared" si="7"/>
        <v>187.8</v>
      </c>
    </row>
    <row r="138" spans="1:5" x14ac:dyDescent="0.25">
      <c r="A138" s="1" t="s">
        <v>232</v>
      </c>
      <c r="B138" s="2">
        <v>6</v>
      </c>
      <c r="C138" s="2">
        <v>31.3</v>
      </c>
      <c r="D138" s="2" t="s">
        <v>81</v>
      </c>
      <c r="E138" s="2">
        <f t="shared" si="7"/>
        <v>187.8</v>
      </c>
    </row>
    <row r="139" spans="1:5" x14ac:dyDescent="0.25">
      <c r="A139" s="1" t="s">
        <v>237</v>
      </c>
      <c r="B139" s="2">
        <v>80</v>
      </c>
      <c r="C139" s="2">
        <v>0.66249999999999998</v>
      </c>
      <c r="D139" s="2" t="s">
        <v>81</v>
      </c>
      <c r="E139" s="2">
        <f t="shared" si="7"/>
        <v>53</v>
      </c>
    </row>
    <row r="140" spans="1:5" x14ac:dyDescent="0.25">
      <c r="A140" s="1" t="s">
        <v>238</v>
      </c>
      <c r="B140" s="2">
        <v>80</v>
      </c>
      <c r="C140" s="2">
        <v>1.08</v>
      </c>
      <c r="D140" s="2" t="s">
        <v>81</v>
      </c>
      <c r="E140" s="2">
        <f t="shared" si="7"/>
        <v>86.4</v>
      </c>
    </row>
    <row r="141" spans="1:5" x14ac:dyDescent="0.25">
      <c r="A141" s="1" t="s">
        <v>247</v>
      </c>
      <c r="B141" s="2">
        <v>13</v>
      </c>
      <c r="C141" s="2">
        <v>1.83</v>
      </c>
      <c r="D141" s="2" t="s">
        <v>81</v>
      </c>
      <c r="E141" s="2">
        <f t="shared" si="7"/>
        <v>23.79</v>
      </c>
    </row>
    <row r="142" spans="1:5" x14ac:dyDescent="0.25">
      <c r="A142" s="1" t="s">
        <v>248</v>
      </c>
      <c r="B142" s="2">
        <v>23</v>
      </c>
      <c r="C142" s="2">
        <v>0.7</v>
      </c>
      <c r="D142" s="2" t="s">
        <v>81</v>
      </c>
      <c r="E142" s="2">
        <f t="shared" si="7"/>
        <v>16.099999999999998</v>
      </c>
    </row>
    <row r="143" spans="1:5" x14ac:dyDescent="0.25">
      <c r="A143" s="1" t="s">
        <v>249</v>
      </c>
      <c r="B143" s="2">
        <v>7</v>
      </c>
      <c r="C143" s="2">
        <v>0.8</v>
      </c>
      <c r="D143" s="2" t="s">
        <v>81</v>
      </c>
      <c r="E143" s="2">
        <f t="shared" si="7"/>
        <v>5.6000000000000005</v>
      </c>
    </row>
    <row r="144" spans="1:5" x14ac:dyDescent="0.25">
      <c r="A144" s="1" t="s">
        <v>250</v>
      </c>
      <c r="B144" s="2">
        <v>73</v>
      </c>
      <c r="C144" s="2">
        <v>0.1</v>
      </c>
      <c r="D144" s="2" t="s">
        <v>81</v>
      </c>
      <c r="E144" s="2">
        <f t="shared" si="7"/>
        <v>7.3000000000000007</v>
      </c>
    </row>
    <row r="145" spans="1:5" x14ac:dyDescent="0.25">
      <c r="A145" s="1" t="s">
        <v>251</v>
      </c>
      <c r="B145" s="2">
        <v>14</v>
      </c>
      <c r="C145" s="2">
        <v>0.2</v>
      </c>
      <c r="D145" s="2" t="s">
        <v>81</v>
      </c>
      <c r="E145" s="2">
        <f t="shared" si="7"/>
        <v>2.8000000000000003</v>
      </c>
    </row>
    <row r="146" spans="1:5" x14ac:dyDescent="0.25">
      <c r="A146" s="1" t="s">
        <v>253</v>
      </c>
      <c r="B146" s="2">
        <v>12</v>
      </c>
      <c r="C146" s="2">
        <v>3.37</v>
      </c>
      <c r="D146" s="2" t="s">
        <v>81</v>
      </c>
      <c r="E146" s="2">
        <f t="shared" si="7"/>
        <v>40.44</v>
      </c>
    </row>
    <row r="147" spans="1:5" x14ac:dyDescent="0.25">
      <c r="A147" s="1" t="s">
        <v>254</v>
      </c>
      <c r="B147" s="2">
        <v>10</v>
      </c>
      <c r="C147" s="2">
        <v>3.45</v>
      </c>
      <c r="D147" s="2" t="s">
        <v>81</v>
      </c>
      <c r="E147" s="2">
        <f t="shared" si="7"/>
        <v>34.5</v>
      </c>
    </row>
    <row r="148" spans="1:5" x14ac:dyDescent="0.25">
      <c r="A148" s="1" t="s">
        <v>255</v>
      </c>
      <c r="B148" s="2">
        <v>12</v>
      </c>
      <c r="C148" s="2">
        <v>3.97</v>
      </c>
      <c r="D148" s="2" t="s">
        <v>81</v>
      </c>
      <c r="E148" s="2">
        <f t="shared" si="7"/>
        <v>47.64</v>
      </c>
    </row>
    <row r="149" spans="1:5" x14ac:dyDescent="0.25">
      <c r="A149" s="1" t="s">
        <v>280</v>
      </c>
      <c r="B149" s="2">
        <v>1</v>
      </c>
      <c r="C149" s="2">
        <v>6.81</v>
      </c>
      <c r="D149" s="2" t="s">
        <v>81</v>
      </c>
      <c r="E149" s="2">
        <f t="shared" si="7"/>
        <v>6.81</v>
      </c>
    </row>
    <row r="150" spans="1:5" x14ac:dyDescent="0.25">
      <c r="A150" s="1" t="s">
        <v>252</v>
      </c>
      <c r="B150" s="2">
        <v>53</v>
      </c>
      <c r="C150" s="2">
        <v>0.32</v>
      </c>
      <c r="D150" s="2" t="s">
        <v>81</v>
      </c>
      <c r="E150" s="2">
        <f t="shared" si="7"/>
        <v>16.96</v>
      </c>
    </row>
    <row r="151" spans="1:5" x14ac:dyDescent="0.25">
      <c r="A151" s="1"/>
      <c r="B151" s="1"/>
      <c r="C151" s="1"/>
      <c r="D151" s="1"/>
      <c r="E151" s="1">
        <f>SUM(E131:E150)</f>
        <v>1573.78</v>
      </c>
    </row>
    <row r="154" spans="1:5" x14ac:dyDescent="0.25">
      <c r="D154" s="1" t="s">
        <v>109</v>
      </c>
      <c r="E154" s="1">
        <f>SUM(E63+E95+E108+E118+E151)</f>
        <v>3240.0921159999998</v>
      </c>
    </row>
  </sheetData>
  <mergeCells count="5">
    <mergeCell ref="A1:E1"/>
    <mergeCell ref="A69:E69"/>
    <mergeCell ref="A98:E98"/>
    <mergeCell ref="A111:E111"/>
    <mergeCell ref="A129:E129"/>
  </mergeCells>
  <pageMargins left="0.7" right="0.7" top="0.75" bottom="0.75" header="0.3" footer="0.3"/>
  <pageSetup paperSize="9" orientation="landscape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3A3539-6F65-4EDE-9A17-FC82D1680F28}">
  <dimension ref="A1:F154"/>
  <sheetViews>
    <sheetView topLeftCell="A61" workbookViewId="0">
      <selection activeCell="A120" sqref="A120:XFD120"/>
    </sheetView>
  </sheetViews>
  <sheetFormatPr baseColWidth="10" defaultRowHeight="15" x14ac:dyDescent="0.25"/>
  <cols>
    <col min="1" max="1" width="45.5703125" customWidth="1"/>
    <col min="3" max="3" width="11.28515625" bestFit="1" customWidth="1"/>
  </cols>
  <sheetData>
    <row r="1" spans="1:6" ht="40.5" customHeight="1" x14ac:dyDescent="0.4">
      <c r="A1" s="29" t="s">
        <v>25</v>
      </c>
      <c r="B1" s="30"/>
      <c r="C1" s="30"/>
      <c r="D1" s="30"/>
      <c r="E1" s="31"/>
      <c r="F1" s="3"/>
    </row>
    <row r="2" spans="1:6" ht="17.25" customHeight="1" x14ac:dyDescent="0.25">
      <c r="A2" s="2" t="s">
        <v>0</v>
      </c>
      <c r="B2" s="2" t="s">
        <v>3</v>
      </c>
      <c r="C2" s="2" t="s">
        <v>56</v>
      </c>
      <c r="D2" s="2" t="s">
        <v>81</v>
      </c>
      <c r="E2" s="2" t="s">
        <v>1</v>
      </c>
    </row>
    <row r="3" spans="1:6" x14ac:dyDescent="0.25">
      <c r="A3" s="1" t="s">
        <v>2</v>
      </c>
      <c r="B3" s="2">
        <v>150</v>
      </c>
      <c r="C3" s="2">
        <v>0.99</v>
      </c>
      <c r="D3" s="2" t="s">
        <v>121</v>
      </c>
      <c r="E3" s="2">
        <f t="shared" ref="E3:E40" si="0">B3*C3/100</f>
        <v>1.4850000000000001</v>
      </c>
    </row>
    <row r="4" spans="1:6" x14ac:dyDescent="0.25">
      <c r="A4" s="1" t="s">
        <v>4</v>
      </c>
      <c r="B4" s="2">
        <v>200</v>
      </c>
      <c r="C4" s="2">
        <v>1.05</v>
      </c>
      <c r="D4" s="2" t="s">
        <v>121</v>
      </c>
      <c r="E4" s="2">
        <f t="shared" si="0"/>
        <v>2.1</v>
      </c>
    </row>
    <row r="5" spans="1:6" x14ac:dyDescent="0.25">
      <c r="A5" s="1" t="s">
        <v>5</v>
      </c>
      <c r="B5" s="2">
        <v>250</v>
      </c>
      <c r="C5" s="2">
        <v>1.05</v>
      </c>
      <c r="D5" s="2" t="s">
        <v>121</v>
      </c>
      <c r="E5" s="2">
        <f t="shared" si="0"/>
        <v>2.625</v>
      </c>
    </row>
    <row r="6" spans="1:6" x14ac:dyDescent="0.25">
      <c r="A6" s="1" t="s">
        <v>6</v>
      </c>
      <c r="B6" s="2">
        <v>200</v>
      </c>
      <c r="C6" s="2">
        <v>1.17</v>
      </c>
      <c r="D6" s="2" t="s">
        <v>121</v>
      </c>
      <c r="E6" s="2">
        <f t="shared" si="0"/>
        <v>2.34</v>
      </c>
    </row>
    <row r="7" spans="1:6" x14ac:dyDescent="0.25">
      <c r="A7" s="1" t="s">
        <v>7</v>
      </c>
      <c r="B7" s="2">
        <v>500</v>
      </c>
      <c r="C7" s="2">
        <v>1.23</v>
      </c>
      <c r="D7" s="2" t="s">
        <v>121</v>
      </c>
      <c r="E7" s="2">
        <f t="shared" si="0"/>
        <v>6.15</v>
      </c>
    </row>
    <row r="8" spans="1:6" x14ac:dyDescent="0.25">
      <c r="A8" s="1" t="s">
        <v>8</v>
      </c>
      <c r="B8" s="2">
        <v>400</v>
      </c>
      <c r="C8" s="2">
        <v>1.35</v>
      </c>
      <c r="D8" s="2" t="s">
        <v>121</v>
      </c>
      <c r="E8" s="2">
        <f t="shared" si="0"/>
        <v>5.4</v>
      </c>
    </row>
    <row r="9" spans="1:6" x14ac:dyDescent="0.25">
      <c r="A9" s="1" t="s">
        <v>9</v>
      </c>
      <c r="B9" s="2">
        <v>250</v>
      </c>
      <c r="C9" s="2">
        <v>1.81</v>
      </c>
      <c r="D9" s="2" t="s">
        <v>121</v>
      </c>
      <c r="E9" s="2">
        <f t="shared" si="0"/>
        <v>4.5250000000000004</v>
      </c>
    </row>
    <row r="10" spans="1:6" x14ac:dyDescent="0.25">
      <c r="A10" s="1" t="s">
        <v>10</v>
      </c>
      <c r="B10" s="2">
        <v>500</v>
      </c>
      <c r="C10" s="2">
        <v>1.05</v>
      </c>
      <c r="D10" s="2" t="s">
        <v>121</v>
      </c>
      <c r="E10" s="2">
        <f t="shared" si="0"/>
        <v>5.25</v>
      </c>
    </row>
    <row r="11" spans="1:6" x14ac:dyDescent="0.25">
      <c r="A11" s="1" t="s">
        <v>11</v>
      </c>
      <c r="B11" s="2">
        <v>150</v>
      </c>
      <c r="C11" s="2">
        <v>1.1000000000000001</v>
      </c>
      <c r="D11" s="2" t="s">
        <v>121</v>
      </c>
      <c r="E11" s="2">
        <f t="shared" si="0"/>
        <v>1.65</v>
      </c>
    </row>
    <row r="12" spans="1:6" x14ac:dyDescent="0.25">
      <c r="A12" s="1" t="s">
        <v>12</v>
      </c>
      <c r="B12" s="2">
        <v>150</v>
      </c>
      <c r="C12" s="2">
        <v>1.17</v>
      </c>
      <c r="D12" s="2" t="s">
        <v>121</v>
      </c>
      <c r="E12" s="2">
        <f t="shared" si="0"/>
        <v>1.7549999999999999</v>
      </c>
    </row>
    <row r="13" spans="1:6" x14ac:dyDescent="0.25">
      <c r="A13" s="1" t="s">
        <v>13</v>
      </c>
      <c r="B13" s="2">
        <v>1000</v>
      </c>
      <c r="C13" s="2">
        <v>1.23</v>
      </c>
      <c r="D13" s="2" t="s">
        <v>121</v>
      </c>
      <c r="E13" s="2">
        <f t="shared" si="0"/>
        <v>12.3</v>
      </c>
    </row>
    <row r="14" spans="1:6" x14ac:dyDescent="0.25">
      <c r="A14" s="1" t="s">
        <v>14</v>
      </c>
      <c r="B14" s="2">
        <v>250</v>
      </c>
      <c r="C14" s="2">
        <v>2.3199999999999998</v>
      </c>
      <c r="D14" s="2" t="s">
        <v>121</v>
      </c>
      <c r="E14" s="2">
        <f t="shared" si="0"/>
        <v>5.8</v>
      </c>
    </row>
    <row r="15" spans="1:6" x14ac:dyDescent="0.25">
      <c r="A15" s="1" t="s">
        <v>15</v>
      </c>
      <c r="B15" s="2">
        <v>200</v>
      </c>
      <c r="C15" s="2">
        <v>1.69</v>
      </c>
      <c r="D15" s="2" t="s">
        <v>121</v>
      </c>
      <c r="E15" s="2">
        <f t="shared" si="0"/>
        <v>3.38</v>
      </c>
    </row>
    <row r="16" spans="1:6" x14ac:dyDescent="0.25">
      <c r="A16" s="1" t="s">
        <v>16</v>
      </c>
      <c r="B16" s="2">
        <v>300</v>
      </c>
      <c r="C16" s="2">
        <v>3.76</v>
      </c>
      <c r="D16" s="2" t="s">
        <v>121</v>
      </c>
      <c r="E16" s="2">
        <f t="shared" si="0"/>
        <v>11.28</v>
      </c>
    </row>
    <row r="17" spans="1:5" x14ac:dyDescent="0.25">
      <c r="A17" s="1" t="s">
        <v>17</v>
      </c>
      <c r="B17" s="2">
        <v>500</v>
      </c>
      <c r="C17" s="2">
        <v>1.17</v>
      </c>
      <c r="D17" s="2" t="s">
        <v>121</v>
      </c>
      <c r="E17" s="2">
        <f t="shared" si="0"/>
        <v>5.85</v>
      </c>
    </row>
    <row r="18" spans="1:5" x14ac:dyDescent="0.25">
      <c r="A18" s="1" t="s">
        <v>18</v>
      </c>
      <c r="B18" s="2">
        <v>150</v>
      </c>
      <c r="C18" s="2">
        <v>1.23</v>
      </c>
      <c r="D18" s="2" t="s">
        <v>121</v>
      </c>
      <c r="E18" s="2">
        <f t="shared" si="0"/>
        <v>1.845</v>
      </c>
    </row>
    <row r="19" spans="1:5" x14ac:dyDescent="0.25">
      <c r="A19" s="1" t="s">
        <v>19</v>
      </c>
      <c r="B19" s="2">
        <v>300</v>
      </c>
      <c r="C19" s="2">
        <v>1.29</v>
      </c>
      <c r="D19" s="2" t="s">
        <v>121</v>
      </c>
      <c r="E19" s="2">
        <f t="shared" si="0"/>
        <v>3.87</v>
      </c>
    </row>
    <row r="20" spans="1:5" x14ac:dyDescent="0.25">
      <c r="A20" s="1" t="s">
        <v>20</v>
      </c>
      <c r="B20" s="2">
        <v>150</v>
      </c>
      <c r="C20" s="2">
        <v>1.53</v>
      </c>
      <c r="D20" s="2" t="s">
        <v>121</v>
      </c>
      <c r="E20" s="2">
        <f t="shared" si="0"/>
        <v>2.2949999999999999</v>
      </c>
    </row>
    <row r="21" spans="1:5" x14ac:dyDescent="0.25">
      <c r="A21" s="1" t="s">
        <v>21</v>
      </c>
      <c r="B21" s="2">
        <v>250</v>
      </c>
      <c r="C21" s="2">
        <v>1.74</v>
      </c>
      <c r="D21" s="2" t="s">
        <v>121</v>
      </c>
      <c r="E21" s="2">
        <f t="shared" si="0"/>
        <v>4.3499999999999996</v>
      </c>
    </row>
    <row r="22" spans="1:5" x14ac:dyDescent="0.25">
      <c r="A22" s="1" t="s">
        <v>22</v>
      </c>
      <c r="B22" s="2">
        <v>150</v>
      </c>
      <c r="C22" s="2">
        <v>1.74</v>
      </c>
      <c r="D22" s="2" t="s">
        <v>121</v>
      </c>
      <c r="E22" s="2">
        <f t="shared" si="0"/>
        <v>2.61</v>
      </c>
    </row>
    <row r="23" spans="1:5" x14ac:dyDescent="0.25">
      <c r="A23" s="1" t="s">
        <v>23</v>
      </c>
      <c r="B23" s="2">
        <v>200</v>
      </c>
      <c r="C23" s="2">
        <v>2.4500000000000002</v>
      </c>
      <c r="D23" s="2" t="s">
        <v>121</v>
      </c>
      <c r="E23" s="2">
        <f t="shared" si="0"/>
        <v>4.9000000000000004</v>
      </c>
    </row>
    <row r="24" spans="1:5" x14ac:dyDescent="0.25">
      <c r="A24" s="1" t="s">
        <v>24</v>
      </c>
      <c r="B24" s="2">
        <v>100</v>
      </c>
      <c r="C24" s="2">
        <v>4.66</v>
      </c>
      <c r="D24" s="2" t="s">
        <v>121</v>
      </c>
      <c r="E24" s="2">
        <f t="shared" si="0"/>
        <v>4.66</v>
      </c>
    </row>
    <row r="25" spans="1:5" x14ac:dyDescent="0.25">
      <c r="A25" s="1" t="s">
        <v>26</v>
      </c>
      <c r="B25" s="2">
        <v>100</v>
      </c>
      <c r="C25" s="2">
        <v>2.12</v>
      </c>
      <c r="D25" s="2" t="s">
        <v>121</v>
      </c>
      <c r="E25" s="2">
        <f t="shared" si="0"/>
        <v>2.12</v>
      </c>
    </row>
    <row r="26" spans="1:5" x14ac:dyDescent="0.25">
      <c r="A26" s="1" t="s">
        <v>27</v>
      </c>
      <c r="B26" s="2">
        <v>150</v>
      </c>
      <c r="C26" s="2">
        <v>2.12</v>
      </c>
      <c r="D26" s="2" t="s">
        <v>121</v>
      </c>
      <c r="E26" s="2">
        <f t="shared" si="0"/>
        <v>3.18</v>
      </c>
    </row>
    <row r="27" spans="1:5" x14ac:dyDescent="0.25">
      <c r="A27" s="1" t="s">
        <v>28</v>
      </c>
      <c r="B27" s="2">
        <v>300</v>
      </c>
      <c r="C27" s="2">
        <v>2.12</v>
      </c>
      <c r="D27" s="2" t="s">
        <v>121</v>
      </c>
      <c r="E27" s="2">
        <f t="shared" si="0"/>
        <v>6.36</v>
      </c>
    </row>
    <row r="28" spans="1:5" x14ac:dyDescent="0.25">
      <c r="A28" s="1" t="s">
        <v>29</v>
      </c>
      <c r="B28" s="2">
        <v>100</v>
      </c>
      <c r="C28" s="2">
        <v>2.19</v>
      </c>
      <c r="D28" s="2" t="s">
        <v>121</v>
      </c>
      <c r="E28" s="2">
        <f t="shared" si="0"/>
        <v>2.19</v>
      </c>
    </row>
    <row r="29" spans="1:5" x14ac:dyDescent="0.25">
      <c r="A29" s="1" t="s">
        <v>30</v>
      </c>
      <c r="B29" s="2">
        <v>75</v>
      </c>
      <c r="C29" s="2">
        <v>2.2599999999999998</v>
      </c>
      <c r="D29" s="2" t="s">
        <v>121</v>
      </c>
      <c r="E29" s="2">
        <f t="shared" si="0"/>
        <v>1.6949999999999996</v>
      </c>
    </row>
    <row r="30" spans="1:5" x14ac:dyDescent="0.25">
      <c r="A30" s="1" t="s">
        <v>31</v>
      </c>
      <c r="B30" s="2">
        <v>100</v>
      </c>
      <c r="C30" s="2">
        <v>3.03</v>
      </c>
      <c r="D30" s="2" t="s">
        <v>121</v>
      </c>
      <c r="E30" s="2">
        <f t="shared" si="0"/>
        <v>3.03</v>
      </c>
    </row>
    <row r="31" spans="1:5" x14ac:dyDescent="0.25">
      <c r="A31" s="1" t="s">
        <v>32</v>
      </c>
      <c r="B31" s="2">
        <v>50</v>
      </c>
      <c r="C31" s="2">
        <v>3.15</v>
      </c>
      <c r="D31" s="2" t="s">
        <v>121</v>
      </c>
      <c r="E31" s="2">
        <f t="shared" si="0"/>
        <v>1.575</v>
      </c>
    </row>
    <row r="32" spans="1:5" x14ac:dyDescent="0.25">
      <c r="A32" s="1" t="s">
        <v>33</v>
      </c>
      <c r="B32" s="2">
        <v>100</v>
      </c>
      <c r="C32" s="2">
        <v>3.7240000000000002</v>
      </c>
      <c r="D32" s="2" t="s">
        <v>121</v>
      </c>
      <c r="E32" s="2">
        <f t="shared" si="0"/>
        <v>3.7240000000000002</v>
      </c>
    </row>
    <row r="33" spans="1:5" x14ac:dyDescent="0.25">
      <c r="A33" s="1" t="s">
        <v>34</v>
      </c>
      <c r="B33" s="2">
        <v>250</v>
      </c>
      <c r="C33" s="2">
        <v>3.92</v>
      </c>
      <c r="D33" s="2" t="s">
        <v>121</v>
      </c>
      <c r="E33" s="2">
        <f t="shared" si="0"/>
        <v>9.8000000000000007</v>
      </c>
    </row>
    <row r="34" spans="1:5" x14ac:dyDescent="0.25">
      <c r="A34" s="1" t="s">
        <v>35</v>
      </c>
      <c r="B34" s="2">
        <v>200</v>
      </c>
      <c r="C34" s="2">
        <v>4.2699999999999996</v>
      </c>
      <c r="D34" s="2" t="s">
        <v>121</v>
      </c>
      <c r="E34" s="2">
        <f t="shared" si="0"/>
        <v>8.5399999999999991</v>
      </c>
    </row>
    <row r="35" spans="1:5" x14ac:dyDescent="0.25">
      <c r="A35" s="1" t="s">
        <v>36</v>
      </c>
      <c r="B35" s="2">
        <v>50</v>
      </c>
      <c r="C35" s="2">
        <v>5.46</v>
      </c>
      <c r="D35" s="2" t="s">
        <v>121</v>
      </c>
      <c r="E35" s="2">
        <f t="shared" si="0"/>
        <v>2.73</v>
      </c>
    </row>
    <row r="36" spans="1:5" x14ac:dyDescent="0.25">
      <c r="A36" s="1" t="s">
        <v>118</v>
      </c>
      <c r="B36" s="2">
        <v>100</v>
      </c>
      <c r="C36" s="2">
        <v>5.66</v>
      </c>
      <c r="D36" s="2" t="s">
        <v>121</v>
      </c>
      <c r="E36" s="2">
        <f t="shared" si="0"/>
        <v>5.66</v>
      </c>
    </row>
    <row r="37" spans="1:5" x14ac:dyDescent="0.25">
      <c r="A37" s="1" t="s">
        <v>37</v>
      </c>
      <c r="B37" s="2">
        <v>150</v>
      </c>
      <c r="C37" s="2">
        <v>8.41</v>
      </c>
      <c r="D37" s="2" t="s">
        <v>121</v>
      </c>
      <c r="E37" s="2">
        <f t="shared" si="0"/>
        <v>12.615</v>
      </c>
    </row>
    <row r="38" spans="1:5" x14ac:dyDescent="0.25">
      <c r="A38" s="1" t="s">
        <v>38</v>
      </c>
      <c r="B38" s="2">
        <v>400</v>
      </c>
      <c r="C38" s="2">
        <v>11.94</v>
      </c>
      <c r="D38" s="2" t="s">
        <v>121</v>
      </c>
      <c r="E38" s="2">
        <f t="shared" si="0"/>
        <v>47.76</v>
      </c>
    </row>
    <row r="39" spans="1:5" x14ac:dyDescent="0.25">
      <c r="A39" s="1" t="s">
        <v>39</v>
      </c>
      <c r="B39" s="2">
        <v>150</v>
      </c>
      <c r="C39" s="2">
        <v>11.875</v>
      </c>
      <c r="D39" s="2" t="s">
        <v>121</v>
      </c>
      <c r="E39" s="2">
        <f t="shared" si="0"/>
        <v>17.8125</v>
      </c>
    </row>
    <row r="40" spans="1:5" x14ac:dyDescent="0.25">
      <c r="A40" s="1" t="s">
        <v>133</v>
      </c>
      <c r="B40" s="2">
        <v>50</v>
      </c>
      <c r="C40" s="2">
        <v>21.71</v>
      </c>
      <c r="D40" s="2" t="s">
        <v>121</v>
      </c>
      <c r="E40" s="2">
        <f t="shared" si="0"/>
        <v>10.855</v>
      </c>
    </row>
    <row r="41" spans="1:5" x14ac:dyDescent="0.25">
      <c r="A41" s="1" t="s">
        <v>119</v>
      </c>
      <c r="B41" s="2">
        <v>12.24</v>
      </c>
      <c r="C41" s="2">
        <v>35.24</v>
      </c>
      <c r="D41" s="2" t="s">
        <v>121</v>
      </c>
      <c r="E41" s="2">
        <f>B41*C41/100</f>
        <v>4.3133759999999999</v>
      </c>
    </row>
    <row r="42" spans="1:5" x14ac:dyDescent="0.25">
      <c r="A42" s="1" t="s">
        <v>44</v>
      </c>
      <c r="B42" s="2">
        <v>30</v>
      </c>
      <c r="C42" s="2">
        <v>35.24</v>
      </c>
      <c r="D42" s="2" t="s">
        <v>121</v>
      </c>
      <c r="E42" s="2">
        <f>B42*C42/100</f>
        <v>10.572000000000001</v>
      </c>
    </row>
    <row r="43" spans="1:5" x14ac:dyDescent="0.25">
      <c r="A43" s="1" t="s">
        <v>120</v>
      </c>
      <c r="B43" s="2">
        <v>190</v>
      </c>
      <c r="C43" s="2">
        <v>13.15</v>
      </c>
      <c r="D43" s="2" t="s">
        <v>121</v>
      </c>
      <c r="E43" s="2">
        <f>B43*C43/100</f>
        <v>24.984999999999999</v>
      </c>
    </row>
    <row r="44" spans="1:5" x14ac:dyDescent="0.25">
      <c r="A44" s="1" t="s">
        <v>122</v>
      </c>
      <c r="B44" s="2">
        <v>180</v>
      </c>
      <c r="C44" s="2">
        <v>15.56</v>
      </c>
      <c r="D44" s="2" t="s">
        <v>121</v>
      </c>
      <c r="E44" s="2">
        <f t="shared" ref="E44:E46" si="1">B44*C44/100</f>
        <v>28.008000000000003</v>
      </c>
    </row>
    <row r="45" spans="1:5" x14ac:dyDescent="0.25">
      <c r="A45" s="1" t="s">
        <v>123</v>
      </c>
      <c r="B45" s="2">
        <v>190</v>
      </c>
      <c r="C45" s="2">
        <v>28.44</v>
      </c>
      <c r="D45" s="2" t="s">
        <v>121</v>
      </c>
      <c r="E45" s="2">
        <f t="shared" si="1"/>
        <v>54.036000000000001</v>
      </c>
    </row>
    <row r="46" spans="1:5" x14ac:dyDescent="0.25">
      <c r="A46" s="1" t="s">
        <v>124</v>
      </c>
      <c r="B46" s="2">
        <v>80</v>
      </c>
      <c r="C46" s="2">
        <v>10.54</v>
      </c>
      <c r="D46" s="2" t="s">
        <v>121</v>
      </c>
      <c r="E46" s="2">
        <f t="shared" si="1"/>
        <v>8.4319999999999986</v>
      </c>
    </row>
    <row r="47" spans="1:5" x14ac:dyDescent="0.25">
      <c r="A47" s="1" t="s">
        <v>125</v>
      </c>
      <c r="B47" s="2">
        <v>0</v>
      </c>
      <c r="C47" s="2">
        <v>0.67</v>
      </c>
      <c r="D47" s="2" t="s">
        <v>81</v>
      </c>
      <c r="E47" s="2">
        <f>B47*C47</f>
        <v>0</v>
      </c>
    </row>
    <row r="48" spans="1:5" x14ac:dyDescent="0.25">
      <c r="A48" s="1" t="s">
        <v>135</v>
      </c>
      <c r="B48" s="2">
        <v>50</v>
      </c>
      <c r="C48" s="2"/>
      <c r="D48" s="2" t="s">
        <v>121</v>
      </c>
      <c r="E48" s="2">
        <f>B48*C48/100</f>
        <v>0</v>
      </c>
    </row>
    <row r="49" spans="1:5" x14ac:dyDescent="0.25">
      <c r="A49" s="1" t="s">
        <v>47</v>
      </c>
      <c r="B49" s="2">
        <v>395</v>
      </c>
      <c r="C49" s="2">
        <v>2.1</v>
      </c>
      <c r="D49" s="2" t="s">
        <v>121</v>
      </c>
      <c r="E49" s="2">
        <f>B49*C49/100</f>
        <v>8.2949999999999999</v>
      </c>
    </row>
    <row r="50" spans="1:5" x14ac:dyDescent="0.25">
      <c r="A50" s="1" t="s">
        <v>40</v>
      </c>
      <c r="B50" s="2">
        <v>5</v>
      </c>
      <c r="C50" s="2">
        <v>5.056</v>
      </c>
      <c r="D50" s="2" t="s">
        <v>83</v>
      </c>
      <c r="E50" s="2">
        <v>25.28</v>
      </c>
    </row>
    <row r="51" spans="1:5" x14ac:dyDescent="0.25">
      <c r="A51" s="1" t="s">
        <v>41</v>
      </c>
      <c r="B51" s="2">
        <v>1</v>
      </c>
      <c r="C51" s="2">
        <v>1.6739999999999999</v>
      </c>
      <c r="D51" s="2" t="s">
        <v>83</v>
      </c>
      <c r="E51" s="2">
        <v>1.6739999999999999</v>
      </c>
    </row>
    <row r="52" spans="1:5" x14ac:dyDescent="0.25">
      <c r="A52" s="1" t="s">
        <v>42</v>
      </c>
      <c r="B52" s="2">
        <v>300</v>
      </c>
      <c r="C52" s="2">
        <v>0.1764</v>
      </c>
      <c r="D52" s="2" t="s">
        <v>81</v>
      </c>
      <c r="E52" s="2">
        <f>B52*C52</f>
        <v>52.92</v>
      </c>
    </row>
    <row r="53" spans="1:5" x14ac:dyDescent="0.25">
      <c r="A53" s="1" t="s">
        <v>143</v>
      </c>
      <c r="B53" s="2">
        <v>50</v>
      </c>
      <c r="C53" s="2">
        <v>0.19620000000000001</v>
      </c>
      <c r="D53" s="2" t="s">
        <v>81</v>
      </c>
      <c r="E53" s="2">
        <f>B53*C53</f>
        <v>9.81</v>
      </c>
    </row>
    <row r="54" spans="1:5" x14ac:dyDescent="0.25">
      <c r="A54" s="1" t="s">
        <v>43</v>
      </c>
      <c r="B54" s="2">
        <v>15</v>
      </c>
      <c r="C54" s="2">
        <v>0.30580000000000002</v>
      </c>
      <c r="D54" s="2" t="s">
        <v>81</v>
      </c>
      <c r="E54" s="2">
        <f>B54*C54</f>
        <v>4.5870000000000006</v>
      </c>
    </row>
    <row r="55" spans="1:5" x14ac:dyDescent="0.25">
      <c r="A55" s="1" t="s">
        <v>46</v>
      </c>
      <c r="B55" s="2">
        <v>10</v>
      </c>
      <c r="C55" s="2">
        <v>204.36</v>
      </c>
      <c r="D55" s="2" t="s">
        <v>121</v>
      </c>
      <c r="E55" s="2">
        <f>B55*C55/100</f>
        <v>20.436</v>
      </c>
    </row>
    <row r="56" spans="1:5" x14ac:dyDescent="0.25">
      <c r="A56" s="1" t="s">
        <v>51</v>
      </c>
      <c r="B56" s="2">
        <v>100</v>
      </c>
      <c r="C56" s="2">
        <v>4.0399999999999998E-2</v>
      </c>
      <c r="D56" s="2" t="s">
        <v>121</v>
      </c>
      <c r="E56" s="2">
        <f>B56*C56</f>
        <v>4.04</v>
      </c>
    </row>
    <row r="57" spans="1:5" x14ac:dyDescent="0.25">
      <c r="A57" s="1" t="s">
        <v>50</v>
      </c>
      <c r="B57" s="2">
        <v>200</v>
      </c>
      <c r="C57" s="2">
        <v>4.6900000000000004</v>
      </c>
      <c r="D57" s="2" t="s">
        <v>121</v>
      </c>
      <c r="E57" s="2">
        <f>B57*C57/100</f>
        <v>9.3800000000000008</v>
      </c>
    </row>
    <row r="58" spans="1:5" x14ac:dyDescent="0.25">
      <c r="A58" s="1" t="s">
        <v>140</v>
      </c>
      <c r="B58" s="2">
        <v>350</v>
      </c>
      <c r="C58" s="2">
        <v>7.44</v>
      </c>
      <c r="D58" s="2" t="s">
        <v>121</v>
      </c>
      <c r="E58" s="2">
        <f>B58*C58/100</f>
        <v>26.04</v>
      </c>
    </row>
    <row r="59" spans="1:5" x14ac:dyDescent="0.25">
      <c r="A59" s="1" t="s">
        <v>48</v>
      </c>
      <c r="B59" s="2">
        <v>100</v>
      </c>
      <c r="C59" s="2">
        <v>0.14000000000000001</v>
      </c>
      <c r="D59" s="2" t="s">
        <v>81</v>
      </c>
      <c r="E59" s="2">
        <f>B59*C59</f>
        <v>14.000000000000002</v>
      </c>
    </row>
    <row r="60" spans="1:5" x14ac:dyDescent="0.25">
      <c r="A60" s="1" t="s">
        <v>49</v>
      </c>
      <c r="B60" s="2">
        <v>121</v>
      </c>
      <c r="C60" s="2">
        <v>3.1E-2</v>
      </c>
      <c r="D60" s="2" t="s">
        <v>81</v>
      </c>
      <c r="E60" s="2">
        <f>B60*C60</f>
        <v>3.7509999999999999</v>
      </c>
    </row>
    <row r="61" spans="1:5" x14ac:dyDescent="0.25">
      <c r="A61" s="1" t="s">
        <v>239</v>
      </c>
      <c r="B61" s="2">
        <v>23</v>
      </c>
      <c r="C61" s="2">
        <v>0.38</v>
      </c>
      <c r="D61" s="2" t="s">
        <v>81</v>
      </c>
      <c r="E61" s="2">
        <f>B61*C61</f>
        <v>8.74</v>
      </c>
    </row>
    <row r="62" spans="1:5" x14ac:dyDescent="0.25">
      <c r="A62" s="1" t="s">
        <v>53</v>
      </c>
      <c r="B62" s="2">
        <v>5.5</v>
      </c>
      <c r="C62" s="2">
        <v>1.4</v>
      </c>
      <c r="D62" s="2" t="s">
        <v>84</v>
      </c>
      <c r="E62" s="2">
        <f>B62*C62</f>
        <v>7.6999999999999993</v>
      </c>
    </row>
    <row r="63" spans="1:5" x14ac:dyDescent="0.25">
      <c r="A63" s="1"/>
      <c r="B63" s="1"/>
      <c r="C63" s="1"/>
      <c r="D63" s="1"/>
      <c r="E63" s="1">
        <f>SUM(E3:E62)</f>
        <v>563.065876</v>
      </c>
    </row>
    <row r="69" spans="1:5" ht="26.25" x14ac:dyDescent="0.25">
      <c r="A69" s="29" t="s">
        <v>54</v>
      </c>
      <c r="B69" s="30"/>
      <c r="C69" s="30"/>
      <c r="D69" s="30"/>
      <c r="E69" s="31"/>
    </row>
    <row r="70" spans="1:5" x14ac:dyDescent="0.25">
      <c r="A70" s="2" t="s">
        <v>0</v>
      </c>
      <c r="B70" s="2" t="s">
        <v>3</v>
      </c>
      <c r="C70" s="2" t="s">
        <v>56</v>
      </c>
      <c r="D70" s="2" t="s">
        <v>81</v>
      </c>
      <c r="E70" s="2" t="s">
        <v>1</v>
      </c>
    </row>
    <row r="71" spans="1:5" x14ac:dyDescent="0.25">
      <c r="A71" s="1" t="s">
        <v>102</v>
      </c>
      <c r="B71" s="2">
        <v>3</v>
      </c>
      <c r="C71" s="2">
        <v>2.92</v>
      </c>
      <c r="D71" s="2" t="s">
        <v>82</v>
      </c>
      <c r="E71" s="2">
        <f>B71*C71</f>
        <v>8.76</v>
      </c>
    </row>
    <row r="72" spans="1:5" x14ac:dyDescent="0.25">
      <c r="A72" s="1" t="s">
        <v>103</v>
      </c>
      <c r="B72" s="2">
        <v>16</v>
      </c>
      <c r="C72" s="2">
        <v>2.76</v>
      </c>
      <c r="D72" s="2" t="s">
        <v>82</v>
      </c>
      <c r="E72" s="2">
        <f t="shared" ref="E72:E86" si="2">B72*C72</f>
        <v>44.16</v>
      </c>
    </row>
    <row r="73" spans="1:5" x14ac:dyDescent="0.25">
      <c r="A73" s="1" t="s">
        <v>104</v>
      </c>
      <c r="B73" s="2">
        <v>0</v>
      </c>
      <c r="C73" s="2">
        <v>2.64</v>
      </c>
      <c r="D73" s="2" t="s">
        <v>82</v>
      </c>
      <c r="E73" s="2">
        <f t="shared" si="2"/>
        <v>0</v>
      </c>
    </row>
    <row r="74" spans="1:5" x14ac:dyDescent="0.25">
      <c r="A74" s="1" t="s">
        <v>105</v>
      </c>
      <c r="B74" s="2">
        <v>5</v>
      </c>
      <c r="C74" s="2">
        <v>2.64</v>
      </c>
      <c r="D74" s="2" t="s">
        <v>82</v>
      </c>
      <c r="E74" s="2">
        <f t="shared" si="2"/>
        <v>13.200000000000001</v>
      </c>
    </row>
    <row r="75" spans="1:5" x14ac:dyDescent="0.25">
      <c r="A75" s="1" t="s">
        <v>106</v>
      </c>
      <c r="B75" s="2">
        <v>2</v>
      </c>
      <c r="C75" s="2">
        <v>15</v>
      </c>
      <c r="D75" s="2" t="s">
        <v>82</v>
      </c>
      <c r="E75" s="2">
        <f t="shared" si="2"/>
        <v>30</v>
      </c>
    </row>
    <row r="76" spans="1:5" x14ac:dyDescent="0.25">
      <c r="A76" s="1" t="s">
        <v>107</v>
      </c>
      <c r="B76" s="2">
        <v>3</v>
      </c>
      <c r="C76" s="2">
        <v>15</v>
      </c>
      <c r="D76" s="2" t="s">
        <v>82</v>
      </c>
      <c r="E76" s="2">
        <f t="shared" si="2"/>
        <v>45</v>
      </c>
    </row>
    <row r="77" spans="1:5" x14ac:dyDescent="0.25">
      <c r="A77" s="1" t="s">
        <v>108</v>
      </c>
      <c r="B77" s="2">
        <v>4</v>
      </c>
      <c r="C77" s="2">
        <v>15</v>
      </c>
      <c r="D77" s="2" t="s">
        <v>82</v>
      </c>
      <c r="E77" s="2">
        <f t="shared" si="2"/>
        <v>60</v>
      </c>
    </row>
    <row r="78" spans="1:5" x14ac:dyDescent="0.25">
      <c r="A78" s="1" t="s">
        <v>147</v>
      </c>
      <c r="B78" s="2">
        <v>1</v>
      </c>
      <c r="C78" s="2">
        <v>15</v>
      </c>
      <c r="D78" s="2" t="s">
        <v>82</v>
      </c>
      <c r="E78" s="2">
        <f t="shared" si="2"/>
        <v>15</v>
      </c>
    </row>
    <row r="79" spans="1:5" x14ac:dyDescent="0.25">
      <c r="A79" s="1" t="s">
        <v>59</v>
      </c>
      <c r="B79" s="2">
        <v>10</v>
      </c>
      <c r="C79" s="2">
        <v>4</v>
      </c>
      <c r="D79" s="2" t="s">
        <v>82</v>
      </c>
      <c r="E79" s="2">
        <f t="shared" si="2"/>
        <v>40</v>
      </c>
    </row>
    <row r="80" spans="1:5" x14ac:dyDescent="0.25">
      <c r="A80" s="1" t="s">
        <v>60</v>
      </c>
      <c r="B80" s="2">
        <v>10</v>
      </c>
      <c r="C80" s="2">
        <v>4</v>
      </c>
      <c r="D80" s="2" t="s">
        <v>82</v>
      </c>
      <c r="E80" s="2">
        <f t="shared" si="2"/>
        <v>40</v>
      </c>
    </row>
    <row r="81" spans="1:5" x14ac:dyDescent="0.25">
      <c r="A81" s="1" t="s">
        <v>61</v>
      </c>
      <c r="B81" s="2">
        <v>3</v>
      </c>
      <c r="C81" s="2">
        <v>2</v>
      </c>
      <c r="D81" s="2" t="s">
        <v>82</v>
      </c>
      <c r="E81" s="2">
        <f t="shared" si="2"/>
        <v>6</v>
      </c>
    </row>
    <row r="82" spans="1:5" x14ac:dyDescent="0.25">
      <c r="A82" s="1" t="s">
        <v>57</v>
      </c>
      <c r="B82" s="2">
        <v>2</v>
      </c>
      <c r="C82" s="2">
        <v>4.92</v>
      </c>
      <c r="D82" s="2" t="s">
        <v>82</v>
      </c>
      <c r="E82" s="2">
        <f t="shared" si="2"/>
        <v>9.84</v>
      </c>
    </row>
    <row r="83" spans="1:5" x14ac:dyDescent="0.25">
      <c r="A83" s="1" t="s">
        <v>58</v>
      </c>
      <c r="B83" s="2">
        <v>90</v>
      </c>
      <c r="C83" s="2">
        <v>8.5400000000000004E-2</v>
      </c>
      <c r="D83" s="2" t="s">
        <v>82</v>
      </c>
      <c r="E83" s="2">
        <f t="shared" si="2"/>
        <v>7.6859999999999999</v>
      </c>
    </row>
    <row r="84" spans="1:5" x14ac:dyDescent="0.25">
      <c r="A84" s="1" t="s">
        <v>144</v>
      </c>
      <c r="B84" s="2">
        <v>1</v>
      </c>
      <c r="C84" s="2">
        <v>1.9419999999999999</v>
      </c>
      <c r="D84" s="2" t="s">
        <v>85</v>
      </c>
      <c r="E84" s="2">
        <f t="shared" si="2"/>
        <v>1.9419999999999999</v>
      </c>
    </row>
    <row r="85" spans="1:5" x14ac:dyDescent="0.25">
      <c r="A85" s="1" t="s">
        <v>145</v>
      </c>
      <c r="B85" s="2">
        <v>4.5</v>
      </c>
      <c r="C85" s="2">
        <v>2.92</v>
      </c>
      <c r="D85" s="2" t="s">
        <v>85</v>
      </c>
      <c r="E85" s="2">
        <f t="shared" si="2"/>
        <v>13.14</v>
      </c>
    </row>
    <row r="86" spans="1:5" x14ac:dyDescent="0.25">
      <c r="A86" s="1" t="s">
        <v>146</v>
      </c>
      <c r="B86" s="2">
        <v>2</v>
      </c>
      <c r="C86" s="2">
        <v>3.72</v>
      </c>
      <c r="D86" s="2" t="s">
        <v>85</v>
      </c>
      <c r="E86" s="2">
        <f t="shared" si="2"/>
        <v>7.44</v>
      </c>
    </row>
    <row r="87" spans="1:5" x14ac:dyDescent="0.25">
      <c r="A87" s="5" t="s">
        <v>75</v>
      </c>
      <c r="B87" s="10">
        <v>409</v>
      </c>
      <c r="C87" s="6">
        <v>46.48</v>
      </c>
      <c r="D87" s="6" t="s">
        <v>152</v>
      </c>
      <c r="E87" s="6">
        <f>B87*C87/1000</f>
        <v>19.01032</v>
      </c>
    </row>
    <row r="88" spans="1:5" x14ac:dyDescent="0.25">
      <c r="A88" s="5" t="s">
        <v>148</v>
      </c>
      <c r="B88" s="2">
        <v>1000</v>
      </c>
      <c r="C88" s="2">
        <v>39.700000000000003</v>
      </c>
      <c r="D88" s="6" t="s">
        <v>152</v>
      </c>
      <c r="E88" s="6">
        <f>B88*C88/1000</f>
        <v>39.700000000000003</v>
      </c>
    </row>
    <row r="89" spans="1:5" x14ac:dyDescent="0.25">
      <c r="A89" s="5" t="s">
        <v>149</v>
      </c>
      <c r="B89" s="2">
        <v>1000</v>
      </c>
      <c r="C89" s="2">
        <v>37.659999999999997</v>
      </c>
      <c r="D89" s="6" t="s">
        <v>152</v>
      </c>
      <c r="E89" s="6">
        <f t="shared" ref="E89:E91" si="3">B89*C89/1000</f>
        <v>37.659999999999997</v>
      </c>
    </row>
    <row r="90" spans="1:5" x14ac:dyDescent="0.25">
      <c r="A90" s="5" t="s">
        <v>150</v>
      </c>
      <c r="B90" s="2">
        <v>1000</v>
      </c>
      <c r="C90" s="2">
        <v>36.56</v>
      </c>
      <c r="D90" s="6" t="s">
        <v>152</v>
      </c>
      <c r="E90" s="6">
        <f t="shared" si="3"/>
        <v>36.56</v>
      </c>
    </row>
    <row r="91" spans="1:5" x14ac:dyDescent="0.25">
      <c r="A91" s="1" t="s">
        <v>76</v>
      </c>
      <c r="B91" s="2">
        <v>315</v>
      </c>
      <c r="C91" s="2">
        <v>35.46</v>
      </c>
      <c r="D91" s="6" t="s">
        <v>152</v>
      </c>
      <c r="E91" s="6">
        <f t="shared" si="3"/>
        <v>11.1699</v>
      </c>
    </row>
    <row r="92" spans="1:5" x14ac:dyDescent="0.25">
      <c r="A92" s="1" t="s">
        <v>151</v>
      </c>
      <c r="B92" s="2">
        <v>1</v>
      </c>
      <c r="C92" s="2">
        <v>28.36</v>
      </c>
      <c r="D92" s="2" t="s">
        <v>81</v>
      </c>
      <c r="E92" s="6">
        <f>B92*C92</f>
        <v>28.36</v>
      </c>
    </row>
    <row r="93" spans="1:5" x14ac:dyDescent="0.25">
      <c r="A93" s="1" t="s">
        <v>153</v>
      </c>
      <c r="B93" s="2">
        <v>3</v>
      </c>
      <c r="C93" s="2">
        <v>6.29</v>
      </c>
      <c r="D93" s="2" t="s">
        <v>81</v>
      </c>
      <c r="E93" s="6">
        <f t="shared" ref="E93:E94" si="4">B93*C93</f>
        <v>18.87</v>
      </c>
    </row>
    <row r="94" spans="1:5" x14ac:dyDescent="0.25">
      <c r="A94" s="1" t="s">
        <v>154</v>
      </c>
      <c r="B94" s="2">
        <v>4</v>
      </c>
      <c r="C94" s="2">
        <v>14.79</v>
      </c>
      <c r="D94" s="2" t="s">
        <v>81</v>
      </c>
      <c r="E94" s="6">
        <f t="shared" si="4"/>
        <v>59.16</v>
      </c>
    </row>
    <row r="95" spans="1:5" x14ac:dyDescent="0.25">
      <c r="A95" s="1"/>
      <c r="B95" s="2"/>
      <c r="C95" s="2"/>
      <c r="D95" s="2"/>
      <c r="E95" s="2">
        <f>SUM(E71:E94)</f>
        <v>592.6582199999998</v>
      </c>
    </row>
    <row r="98" spans="1:5" ht="26.25" x14ac:dyDescent="0.25">
      <c r="A98" s="29" t="s">
        <v>55</v>
      </c>
      <c r="B98" s="30"/>
      <c r="C98" s="30"/>
      <c r="D98" s="30"/>
      <c r="E98" s="31"/>
    </row>
    <row r="99" spans="1:5" x14ac:dyDescent="0.25">
      <c r="A99" s="2" t="s">
        <v>0</v>
      </c>
      <c r="B99" s="2" t="s">
        <v>3</v>
      </c>
      <c r="C99" s="2" t="s">
        <v>56</v>
      </c>
      <c r="D99" s="2" t="s">
        <v>81</v>
      </c>
      <c r="E99" s="2" t="s">
        <v>1</v>
      </c>
    </row>
    <row r="100" spans="1:5" x14ac:dyDescent="0.25">
      <c r="A100" s="1" t="s">
        <v>62</v>
      </c>
      <c r="B100" s="2">
        <v>8</v>
      </c>
      <c r="C100" s="2">
        <v>8.76</v>
      </c>
      <c r="D100" s="2" t="s">
        <v>87</v>
      </c>
      <c r="E100" s="2">
        <f t="shared" ref="E100:E107" si="5">B100*C100</f>
        <v>70.08</v>
      </c>
    </row>
    <row r="101" spans="1:5" x14ac:dyDescent="0.25">
      <c r="A101" s="1" t="s">
        <v>159</v>
      </c>
      <c r="B101" s="2">
        <v>6</v>
      </c>
      <c r="C101" s="2">
        <v>6.93</v>
      </c>
      <c r="D101" s="2" t="s">
        <v>87</v>
      </c>
      <c r="E101" s="2">
        <f t="shared" si="5"/>
        <v>41.58</v>
      </c>
    </row>
    <row r="102" spans="1:5" x14ac:dyDescent="0.25">
      <c r="A102" s="1" t="s">
        <v>64</v>
      </c>
      <c r="B102" s="2">
        <v>11</v>
      </c>
      <c r="C102" s="2">
        <v>3.34</v>
      </c>
      <c r="D102" s="2" t="s">
        <v>87</v>
      </c>
      <c r="E102" s="2">
        <f t="shared" si="5"/>
        <v>36.739999999999995</v>
      </c>
    </row>
    <row r="103" spans="1:5" x14ac:dyDescent="0.25">
      <c r="A103" s="1" t="s">
        <v>161</v>
      </c>
      <c r="B103" s="2">
        <v>11</v>
      </c>
      <c r="C103" s="2">
        <v>1.07</v>
      </c>
      <c r="D103" s="2" t="s">
        <v>87</v>
      </c>
      <c r="E103" s="2">
        <f t="shared" si="5"/>
        <v>11.770000000000001</v>
      </c>
    </row>
    <row r="104" spans="1:5" x14ac:dyDescent="0.25">
      <c r="A104" s="1" t="s">
        <v>167</v>
      </c>
      <c r="B104" s="2">
        <v>2.25</v>
      </c>
      <c r="C104" s="2">
        <v>7.13</v>
      </c>
      <c r="D104" s="2" t="s">
        <v>83</v>
      </c>
      <c r="E104" s="2">
        <f t="shared" si="5"/>
        <v>16.0425</v>
      </c>
    </row>
    <row r="105" spans="1:5" x14ac:dyDescent="0.25">
      <c r="A105" s="1" t="s">
        <v>168</v>
      </c>
      <c r="B105" s="2">
        <v>4</v>
      </c>
      <c r="C105" s="2">
        <v>5.24</v>
      </c>
      <c r="D105" s="2" t="s">
        <v>83</v>
      </c>
      <c r="E105" s="2">
        <f t="shared" si="5"/>
        <v>20.96</v>
      </c>
    </row>
    <row r="106" spans="1:5" x14ac:dyDescent="0.25">
      <c r="A106" s="1" t="s">
        <v>169</v>
      </c>
      <c r="B106" s="2">
        <v>1</v>
      </c>
      <c r="C106" s="2">
        <v>20.11</v>
      </c>
      <c r="D106" s="2" t="s">
        <v>170</v>
      </c>
      <c r="E106" s="2">
        <f t="shared" si="5"/>
        <v>20.11</v>
      </c>
    </row>
    <row r="107" spans="1:5" x14ac:dyDescent="0.25">
      <c r="A107" s="1" t="s">
        <v>171</v>
      </c>
      <c r="B107" s="2">
        <v>1</v>
      </c>
      <c r="C107" s="2">
        <v>17.3</v>
      </c>
      <c r="D107" s="2" t="s">
        <v>86</v>
      </c>
      <c r="E107" s="2">
        <f t="shared" si="5"/>
        <v>17.3</v>
      </c>
    </row>
    <row r="108" spans="1:5" x14ac:dyDescent="0.25">
      <c r="A108" s="1"/>
      <c r="B108" s="1"/>
      <c r="C108" s="1"/>
      <c r="D108" s="1"/>
      <c r="E108" s="1">
        <f>SUM(E100:E107)</f>
        <v>234.58249999999998</v>
      </c>
    </row>
    <row r="111" spans="1:5" ht="26.25" x14ac:dyDescent="0.25">
      <c r="A111" s="29" t="s">
        <v>172</v>
      </c>
      <c r="B111" s="30"/>
      <c r="C111" s="30"/>
      <c r="D111" s="30"/>
      <c r="E111" s="31"/>
    </row>
    <row r="112" spans="1:5" x14ac:dyDescent="0.25">
      <c r="A112" s="2" t="s">
        <v>0</v>
      </c>
      <c r="B112" s="2" t="s">
        <v>3</v>
      </c>
      <c r="C112" s="2" t="s">
        <v>56</v>
      </c>
      <c r="D112" s="2" t="s">
        <v>81</v>
      </c>
      <c r="E112" s="2" t="s">
        <v>1</v>
      </c>
    </row>
    <row r="113" spans="1:5" x14ac:dyDescent="0.25">
      <c r="A113" s="1" t="s">
        <v>80</v>
      </c>
      <c r="B113" s="2">
        <v>5.7960000000000003</v>
      </c>
      <c r="C113" s="2">
        <v>6.44</v>
      </c>
      <c r="D113" s="2" t="s">
        <v>88</v>
      </c>
      <c r="E113" s="2">
        <f>B113*C113</f>
        <v>37.326240000000006</v>
      </c>
    </row>
    <row r="114" spans="1:5" x14ac:dyDescent="0.25">
      <c r="A114" s="1" t="s">
        <v>174</v>
      </c>
      <c r="B114" s="2">
        <v>5.7960000000000003</v>
      </c>
      <c r="C114" s="2">
        <v>9.42</v>
      </c>
      <c r="D114" s="2" t="s">
        <v>88</v>
      </c>
      <c r="E114" s="2">
        <f>B114*C114</f>
        <v>54.598320000000001</v>
      </c>
    </row>
    <row r="115" spans="1:5" x14ac:dyDescent="0.25">
      <c r="A115" s="1" t="s">
        <v>175</v>
      </c>
      <c r="B115" s="2">
        <v>17.388000000000002</v>
      </c>
      <c r="C115" s="2">
        <v>5.2</v>
      </c>
      <c r="D115" s="2" t="s">
        <v>88</v>
      </c>
      <c r="E115" s="2">
        <f t="shared" ref="E115" si="6">B115*C115</f>
        <v>90.417600000000007</v>
      </c>
    </row>
    <row r="116" spans="1:5" x14ac:dyDescent="0.25">
      <c r="A116" s="1" t="s">
        <v>176</v>
      </c>
      <c r="B116" s="2">
        <v>5.7960000000000003</v>
      </c>
      <c r="C116" s="2">
        <v>5.46</v>
      </c>
      <c r="D116" s="2" t="s">
        <v>88</v>
      </c>
      <c r="E116" s="2">
        <f>B116*C116</f>
        <v>31.646160000000002</v>
      </c>
    </row>
    <row r="117" spans="1:5" x14ac:dyDescent="0.25">
      <c r="A117" s="1" t="s">
        <v>177</v>
      </c>
      <c r="B117" s="2">
        <v>11.592000000000001</v>
      </c>
      <c r="C117" s="2">
        <v>5.35</v>
      </c>
      <c r="D117" s="2" t="s">
        <v>88</v>
      </c>
      <c r="E117" s="2">
        <f>B117*C117</f>
        <v>62.017199999999995</v>
      </c>
    </row>
    <row r="118" spans="1:5" x14ac:dyDescent="0.25">
      <c r="A118" s="1"/>
      <c r="B118" s="1"/>
      <c r="C118" s="1"/>
      <c r="D118" s="1"/>
      <c r="E118" s="1">
        <f>SUM(E113:E117)</f>
        <v>276.00552000000005</v>
      </c>
    </row>
    <row r="129" spans="1:5" ht="26.25" x14ac:dyDescent="0.25">
      <c r="A129" s="29" t="s">
        <v>110</v>
      </c>
      <c r="B129" s="30"/>
      <c r="C129" s="30"/>
      <c r="D129" s="30"/>
      <c r="E129" s="31"/>
    </row>
    <row r="130" spans="1:5" x14ac:dyDescent="0.25">
      <c r="A130" s="2" t="s">
        <v>0</v>
      </c>
      <c r="B130" s="2" t="s">
        <v>3</v>
      </c>
      <c r="C130" s="2" t="s">
        <v>56</v>
      </c>
      <c r="D130" s="2" t="s">
        <v>81</v>
      </c>
      <c r="E130" s="2" t="s">
        <v>1</v>
      </c>
    </row>
    <row r="131" spans="1:5" x14ac:dyDescent="0.25">
      <c r="A131" s="1" t="s">
        <v>216</v>
      </c>
      <c r="B131" s="2">
        <v>277</v>
      </c>
      <c r="C131" s="2">
        <v>2.2400000000000002</v>
      </c>
      <c r="D131" s="2" t="s">
        <v>81</v>
      </c>
      <c r="E131" s="2">
        <f t="shared" ref="E131:E150" si="7">B131*C131</f>
        <v>620.48</v>
      </c>
    </row>
    <row r="132" spans="1:5" x14ac:dyDescent="0.25">
      <c r="A132" s="1" t="s">
        <v>224</v>
      </c>
      <c r="B132" s="2">
        <v>22</v>
      </c>
      <c r="C132" s="2">
        <v>0.54</v>
      </c>
      <c r="D132" s="2" t="s">
        <v>81</v>
      </c>
      <c r="E132" s="2">
        <f t="shared" si="7"/>
        <v>11.88</v>
      </c>
    </row>
    <row r="133" spans="1:5" x14ac:dyDescent="0.25">
      <c r="A133" s="1" t="s">
        <v>225</v>
      </c>
      <c r="B133" s="2">
        <v>20</v>
      </c>
      <c r="C133" s="2">
        <v>0.79</v>
      </c>
      <c r="D133" s="2" t="s">
        <v>81</v>
      </c>
      <c r="E133" s="2">
        <f t="shared" si="7"/>
        <v>15.8</v>
      </c>
    </row>
    <row r="134" spans="1:5" x14ac:dyDescent="0.25">
      <c r="A134" s="1" t="s">
        <v>226</v>
      </c>
      <c r="B134" s="2">
        <v>524</v>
      </c>
      <c r="C134" s="2">
        <v>0.38</v>
      </c>
      <c r="D134" s="2" t="s">
        <v>81</v>
      </c>
      <c r="E134" s="2">
        <f t="shared" si="7"/>
        <v>199.12</v>
      </c>
    </row>
    <row r="135" spans="1:5" x14ac:dyDescent="0.25">
      <c r="A135" s="1" t="s">
        <v>229</v>
      </c>
      <c r="B135" s="2">
        <v>2</v>
      </c>
      <c r="C135" s="2">
        <v>1.66</v>
      </c>
      <c r="D135" s="2" t="s">
        <v>81</v>
      </c>
      <c r="E135" s="2">
        <f t="shared" si="7"/>
        <v>3.32</v>
      </c>
    </row>
    <row r="136" spans="1:5" x14ac:dyDescent="0.25">
      <c r="A136" s="1" t="s">
        <v>230</v>
      </c>
      <c r="B136" s="2">
        <v>8</v>
      </c>
      <c r="C136" s="2">
        <v>0.78</v>
      </c>
      <c r="D136" s="2" t="s">
        <v>81</v>
      </c>
      <c r="E136" s="2">
        <f t="shared" si="7"/>
        <v>6.24</v>
      </c>
    </row>
    <row r="137" spans="1:5" x14ac:dyDescent="0.25">
      <c r="A137" s="1" t="s">
        <v>231</v>
      </c>
      <c r="B137" s="2">
        <v>6</v>
      </c>
      <c r="C137" s="2">
        <v>31.3</v>
      </c>
      <c r="D137" s="2" t="s">
        <v>81</v>
      </c>
      <c r="E137" s="2">
        <f t="shared" si="7"/>
        <v>187.8</v>
      </c>
    </row>
    <row r="138" spans="1:5" x14ac:dyDescent="0.25">
      <c r="A138" s="1" t="s">
        <v>232</v>
      </c>
      <c r="B138" s="2">
        <v>6</v>
      </c>
      <c r="C138" s="2">
        <v>31.3</v>
      </c>
      <c r="D138" s="2" t="s">
        <v>81</v>
      </c>
      <c r="E138" s="2">
        <f t="shared" si="7"/>
        <v>187.8</v>
      </c>
    </row>
    <row r="139" spans="1:5" x14ac:dyDescent="0.25">
      <c r="A139" s="1" t="s">
        <v>237</v>
      </c>
      <c r="B139" s="2">
        <v>80</v>
      </c>
      <c r="C139" s="2">
        <v>0.66249999999999998</v>
      </c>
      <c r="D139" s="2" t="s">
        <v>81</v>
      </c>
      <c r="E139" s="2">
        <f t="shared" si="7"/>
        <v>53</v>
      </c>
    </row>
    <row r="140" spans="1:5" x14ac:dyDescent="0.25">
      <c r="A140" s="1" t="s">
        <v>238</v>
      </c>
      <c r="B140" s="2">
        <v>80</v>
      </c>
      <c r="C140" s="2">
        <v>1.08</v>
      </c>
      <c r="D140" s="2" t="s">
        <v>81</v>
      </c>
      <c r="E140" s="2">
        <f t="shared" si="7"/>
        <v>86.4</v>
      </c>
    </row>
    <row r="141" spans="1:5" x14ac:dyDescent="0.25">
      <c r="A141" s="1" t="s">
        <v>247</v>
      </c>
      <c r="B141" s="2">
        <v>13</v>
      </c>
      <c r="C141" s="2">
        <v>1.83</v>
      </c>
      <c r="D141" s="2" t="s">
        <v>81</v>
      </c>
      <c r="E141" s="2">
        <f t="shared" si="7"/>
        <v>23.79</v>
      </c>
    </row>
    <row r="142" spans="1:5" x14ac:dyDescent="0.25">
      <c r="A142" s="1" t="s">
        <v>248</v>
      </c>
      <c r="B142" s="2">
        <v>23</v>
      </c>
      <c r="C142" s="2">
        <v>0.7</v>
      </c>
      <c r="D142" s="2" t="s">
        <v>81</v>
      </c>
      <c r="E142" s="2">
        <f t="shared" si="7"/>
        <v>16.099999999999998</v>
      </c>
    </row>
    <row r="143" spans="1:5" x14ac:dyDescent="0.25">
      <c r="A143" s="1" t="s">
        <v>249</v>
      </c>
      <c r="B143" s="2">
        <v>7</v>
      </c>
      <c r="C143" s="2">
        <v>0.8</v>
      </c>
      <c r="D143" s="2" t="s">
        <v>81</v>
      </c>
      <c r="E143" s="2">
        <f t="shared" si="7"/>
        <v>5.6000000000000005</v>
      </c>
    </row>
    <row r="144" spans="1:5" x14ac:dyDescent="0.25">
      <c r="A144" s="1" t="s">
        <v>250</v>
      </c>
      <c r="B144" s="2">
        <v>73</v>
      </c>
      <c r="C144" s="2">
        <v>0.1</v>
      </c>
      <c r="D144" s="2" t="s">
        <v>81</v>
      </c>
      <c r="E144" s="2">
        <f t="shared" si="7"/>
        <v>7.3000000000000007</v>
      </c>
    </row>
    <row r="145" spans="1:5" x14ac:dyDescent="0.25">
      <c r="A145" s="1" t="s">
        <v>251</v>
      </c>
      <c r="B145" s="2">
        <v>14</v>
      </c>
      <c r="C145" s="2">
        <v>0.2</v>
      </c>
      <c r="D145" s="2" t="s">
        <v>81</v>
      </c>
      <c r="E145" s="2">
        <f t="shared" si="7"/>
        <v>2.8000000000000003</v>
      </c>
    </row>
    <row r="146" spans="1:5" x14ac:dyDescent="0.25">
      <c r="A146" s="1" t="s">
        <v>253</v>
      </c>
      <c r="B146" s="2">
        <v>12</v>
      </c>
      <c r="C146" s="2">
        <v>3.37</v>
      </c>
      <c r="D146" s="2" t="s">
        <v>81</v>
      </c>
      <c r="E146" s="2">
        <f t="shared" si="7"/>
        <v>40.44</v>
      </c>
    </row>
    <row r="147" spans="1:5" x14ac:dyDescent="0.25">
      <c r="A147" s="1" t="s">
        <v>254</v>
      </c>
      <c r="B147" s="2">
        <v>10</v>
      </c>
      <c r="C147" s="2">
        <v>3.45</v>
      </c>
      <c r="D147" s="2" t="s">
        <v>81</v>
      </c>
      <c r="E147" s="2">
        <f t="shared" si="7"/>
        <v>34.5</v>
      </c>
    </row>
    <row r="148" spans="1:5" x14ac:dyDescent="0.25">
      <c r="A148" s="1" t="s">
        <v>255</v>
      </c>
      <c r="B148" s="2">
        <v>12</v>
      </c>
      <c r="C148" s="2">
        <v>3.97</v>
      </c>
      <c r="D148" s="2" t="s">
        <v>81</v>
      </c>
      <c r="E148" s="2">
        <f t="shared" si="7"/>
        <v>47.64</v>
      </c>
    </row>
    <row r="149" spans="1:5" x14ac:dyDescent="0.25">
      <c r="A149" s="1" t="s">
        <v>280</v>
      </c>
      <c r="B149" s="2">
        <v>1</v>
      </c>
      <c r="C149" s="2">
        <v>6.81</v>
      </c>
      <c r="D149" s="2" t="s">
        <v>81</v>
      </c>
      <c r="E149" s="2">
        <f t="shared" si="7"/>
        <v>6.81</v>
      </c>
    </row>
    <row r="150" spans="1:5" x14ac:dyDescent="0.25">
      <c r="A150" s="1" t="s">
        <v>252</v>
      </c>
      <c r="B150" s="2">
        <v>53</v>
      </c>
      <c r="C150" s="2">
        <v>0.32</v>
      </c>
      <c r="D150" s="2" t="s">
        <v>81</v>
      </c>
      <c r="E150" s="2">
        <f t="shared" si="7"/>
        <v>16.96</v>
      </c>
    </row>
    <row r="151" spans="1:5" x14ac:dyDescent="0.25">
      <c r="A151" s="1"/>
      <c r="B151" s="1"/>
      <c r="C151" s="1"/>
      <c r="D151" s="1"/>
      <c r="E151" s="1">
        <f>SUM(E131:E150)</f>
        <v>1573.78</v>
      </c>
    </row>
    <row r="154" spans="1:5" x14ac:dyDescent="0.25">
      <c r="D154" s="1" t="s">
        <v>109</v>
      </c>
      <c r="E154" s="1">
        <f>SUM(E63+E95+E108+E118+E151)</f>
        <v>3240.0921159999998</v>
      </c>
    </row>
  </sheetData>
  <mergeCells count="5">
    <mergeCell ref="A1:E1"/>
    <mergeCell ref="A69:E69"/>
    <mergeCell ref="A98:E98"/>
    <mergeCell ref="A111:E111"/>
    <mergeCell ref="A129:E129"/>
  </mergeCells>
  <pageMargins left="0.7" right="0.7" top="0.75" bottom="0.75" header="0.3" footer="0.3"/>
  <pageSetup paperSize="9" orientation="landscape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EF3598-9C2F-4434-AEEB-63ED870C8558}">
  <dimension ref="A1:F148"/>
  <sheetViews>
    <sheetView topLeftCell="A91" workbookViewId="0">
      <selection activeCell="I72" sqref="I72"/>
    </sheetView>
  </sheetViews>
  <sheetFormatPr baseColWidth="10" defaultRowHeight="15" x14ac:dyDescent="0.25"/>
  <cols>
    <col min="1" max="1" width="45.5703125" customWidth="1"/>
    <col min="3" max="3" width="11.28515625" bestFit="1" customWidth="1"/>
  </cols>
  <sheetData>
    <row r="1" spans="1:6" ht="40.5" customHeight="1" x14ac:dyDescent="0.4">
      <c r="A1" s="29" t="s">
        <v>25</v>
      </c>
      <c r="B1" s="30"/>
      <c r="C1" s="30"/>
      <c r="D1" s="30"/>
      <c r="E1" s="31"/>
      <c r="F1" s="3"/>
    </row>
    <row r="2" spans="1:6" ht="17.25" customHeight="1" x14ac:dyDescent="0.25">
      <c r="A2" s="2" t="s">
        <v>0</v>
      </c>
      <c r="B2" s="2" t="s">
        <v>3</v>
      </c>
      <c r="C2" s="2" t="s">
        <v>56</v>
      </c>
      <c r="D2" s="2" t="s">
        <v>81</v>
      </c>
      <c r="E2" s="2" t="s">
        <v>1</v>
      </c>
    </row>
    <row r="3" spans="1:6" x14ac:dyDescent="0.25">
      <c r="A3" s="1" t="s">
        <v>2</v>
      </c>
      <c r="B3" s="2">
        <v>50</v>
      </c>
      <c r="C3" s="2">
        <v>0.99</v>
      </c>
      <c r="D3" s="2" t="s">
        <v>121</v>
      </c>
      <c r="E3" s="2">
        <f t="shared" ref="E3:E40" si="0">B3*C3/100</f>
        <v>0.495</v>
      </c>
    </row>
    <row r="4" spans="1:6" x14ac:dyDescent="0.25">
      <c r="A4" s="1" t="s">
        <v>4</v>
      </c>
      <c r="B4" s="2">
        <v>200</v>
      </c>
      <c r="C4" s="2">
        <v>1.05</v>
      </c>
      <c r="D4" s="2" t="s">
        <v>121</v>
      </c>
      <c r="E4" s="2">
        <f t="shared" si="0"/>
        <v>2.1</v>
      </c>
    </row>
    <row r="5" spans="1:6" x14ac:dyDescent="0.25">
      <c r="A5" s="1" t="s">
        <v>5</v>
      </c>
      <c r="B5" s="2">
        <v>100</v>
      </c>
      <c r="C5" s="2">
        <v>1.05</v>
      </c>
      <c r="D5" s="2" t="s">
        <v>121</v>
      </c>
      <c r="E5" s="2">
        <f t="shared" si="0"/>
        <v>1.05</v>
      </c>
    </row>
    <row r="6" spans="1:6" x14ac:dyDescent="0.25">
      <c r="A6" s="1" t="s">
        <v>6</v>
      </c>
      <c r="B6" s="2">
        <v>100</v>
      </c>
      <c r="C6" s="2">
        <v>1.17</v>
      </c>
      <c r="D6" s="2" t="s">
        <v>121</v>
      </c>
      <c r="E6" s="2">
        <f t="shared" si="0"/>
        <v>1.17</v>
      </c>
    </row>
    <row r="7" spans="1:6" x14ac:dyDescent="0.25">
      <c r="A7" s="1" t="s">
        <v>7</v>
      </c>
      <c r="B7" s="2">
        <v>225</v>
      </c>
      <c r="C7" s="2">
        <v>1.23</v>
      </c>
      <c r="D7" s="2" t="s">
        <v>121</v>
      </c>
      <c r="E7" s="2">
        <f t="shared" si="0"/>
        <v>2.7675000000000001</v>
      </c>
    </row>
    <row r="8" spans="1:6" x14ac:dyDescent="0.25">
      <c r="A8" s="1" t="s">
        <v>8</v>
      </c>
      <c r="B8" s="2">
        <v>300</v>
      </c>
      <c r="C8" s="2">
        <v>1.35</v>
      </c>
      <c r="D8" s="2" t="s">
        <v>121</v>
      </c>
      <c r="E8" s="2">
        <f t="shared" si="0"/>
        <v>4.05</v>
      </c>
    </row>
    <row r="9" spans="1:6" x14ac:dyDescent="0.25">
      <c r="A9" s="1" t="s">
        <v>9</v>
      </c>
      <c r="B9" s="2">
        <v>150</v>
      </c>
      <c r="C9" s="2">
        <v>1.81</v>
      </c>
      <c r="D9" s="2" t="s">
        <v>121</v>
      </c>
      <c r="E9" s="2">
        <f t="shared" si="0"/>
        <v>2.7149999999999999</v>
      </c>
    </row>
    <row r="10" spans="1:6" x14ac:dyDescent="0.25">
      <c r="A10" s="1" t="s">
        <v>10</v>
      </c>
      <c r="B10" s="2">
        <v>150</v>
      </c>
      <c r="C10" s="2">
        <v>1.05</v>
      </c>
      <c r="D10" s="2" t="s">
        <v>121</v>
      </c>
      <c r="E10" s="2">
        <f t="shared" si="0"/>
        <v>1.575</v>
      </c>
    </row>
    <row r="11" spans="1:6" x14ac:dyDescent="0.25">
      <c r="A11" s="1" t="s">
        <v>11</v>
      </c>
      <c r="B11" s="2">
        <v>150</v>
      </c>
      <c r="C11" s="2">
        <v>1.1000000000000001</v>
      </c>
      <c r="D11" s="2" t="s">
        <v>121</v>
      </c>
      <c r="E11" s="2">
        <f t="shared" si="0"/>
        <v>1.65</v>
      </c>
    </row>
    <row r="12" spans="1:6" x14ac:dyDescent="0.25">
      <c r="A12" s="1" t="s">
        <v>12</v>
      </c>
      <c r="B12" s="2">
        <v>100</v>
      </c>
      <c r="C12" s="2">
        <v>1.17</v>
      </c>
      <c r="D12" s="2" t="s">
        <v>121</v>
      </c>
      <c r="E12" s="2">
        <f t="shared" si="0"/>
        <v>1.17</v>
      </c>
    </row>
    <row r="13" spans="1:6" x14ac:dyDescent="0.25">
      <c r="A13" s="1" t="s">
        <v>13</v>
      </c>
      <c r="B13" s="2">
        <v>200</v>
      </c>
      <c r="C13" s="2">
        <v>1.23</v>
      </c>
      <c r="D13" s="2" t="s">
        <v>121</v>
      </c>
      <c r="E13" s="2">
        <f t="shared" si="0"/>
        <v>2.46</v>
      </c>
    </row>
    <row r="14" spans="1:6" x14ac:dyDescent="0.25">
      <c r="A14" s="1" t="s">
        <v>14</v>
      </c>
      <c r="B14" s="2">
        <v>175</v>
      </c>
      <c r="C14" s="2">
        <v>2.3199999999999998</v>
      </c>
      <c r="D14" s="2" t="s">
        <v>121</v>
      </c>
      <c r="E14" s="2">
        <f t="shared" si="0"/>
        <v>4.0599999999999996</v>
      </c>
    </row>
    <row r="15" spans="1:6" x14ac:dyDescent="0.25">
      <c r="A15" s="1" t="s">
        <v>15</v>
      </c>
      <c r="B15" s="2">
        <v>100</v>
      </c>
      <c r="C15" s="2">
        <v>1.69</v>
      </c>
      <c r="D15" s="2" t="s">
        <v>121</v>
      </c>
      <c r="E15" s="2">
        <f t="shared" si="0"/>
        <v>1.69</v>
      </c>
    </row>
    <row r="16" spans="1:6" x14ac:dyDescent="0.25">
      <c r="A16" s="1" t="s">
        <v>16</v>
      </c>
      <c r="B16" s="2">
        <v>400</v>
      </c>
      <c r="C16" s="2">
        <v>3.76</v>
      </c>
      <c r="D16" s="2" t="s">
        <v>121</v>
      </c>
      <c r="E16" s="2">
        <f t="shared" si="0"/>
        <v>15.04</v>
      </c>
    </row>
    <row r="17" spans="1:5" x14ac:dyDescent="0.25">
      <c r="A17" s="1" t="s">
        <v>17</v>
      </c>
      <c r="B17" s="2">
        <v>100</v>
      </c>
      <c r="C17" s="2">
        <v>1.17</v>
      </c>
      <c r="D17" s="2" t="s">
        <v>121</v>
      </c>
      <c r="E17" s="2">
        <f t="shared" si="0"/>
        <v>1.17</v>
      </c>
    </row>
    <row r="18" spans="1:5" x14ac:dyDescent="0.25">
      <c r="A18" s="1" t="s">
        <v>18</v>
      </c>
      <c r="B18" s="2">
        <v>200</v>
      </c>
      <c r="C18" s="2">
        <v>1.23</v>
      </c>
      <c r="D18" s="2" t="s">
        <v>121</v>
      </c>
      <c r="E18" s="2">
        <f t="shared" si="0"/>
        <v>2.46</v>
      </c>
    </row>
    <row r="19" spans="1:5" x14ac:dyDescent="0.25">
      <c r="A19" s="1" t="s">
        <v>19</v>
      </c>
      <c r="B19" s="2">
        <v>250</v>
      </c>
      <c r="C19" s="2">
        <v>1.29</v>
      </c>
      <c r="D19" s="2" t="s">
        <v>121</v>
      </c>
      <c r="E19" s="2">
        <f t="shared" si="0"/>
        <v>3.2250000000000001</v>
      </c>
    </row>
    <row r="20" spans="1:5" x14ac:dyDescent="0.25">
      <c r="A20" s="1" t="s">
        <v>20</v>
      </c>
      <c r="B20" s="2">
        <v>300</v>
      </c>
      <c r="C20" s="2">
        <v>1.53</v>
      </c>
      <c r="D20" s="2" t="s">
        <v>121</v>
      </c>
      <c r="E20" s="2">
        <f t="shared" si="0"/>
        <v>4.59</v>
      </c>
    </row>
    <row r="21" spans="1:5" x14ac:dyDescent="0.25">
      <c r="A21" s="1" t="s">
        <v>21</v>
      </c>
      <c r="B21" s="2">
        <v>100</v>
      </c>
      <c r="C21" s="2">
        <v>1.74</v>
      </c>
      <c r="D21" s="2" t="s">
        <v>121</v>
      </c>
      <c r="E21" s="2">
        <f t="shared" si="0"/>
        <v>1.74</v>
      </c>
    </row>
    <row r="22" spans="1:5" x14ac:dyDescent="0.25">
      <c r="A22" s="1" t="s">
        <v>22</v>
      </c>
      <c r="B22" s="2">
        <v>150</v>
      </c>
      <c r="C22" s="2">
        <v>1.74</v>
      </c>
      <c r="D22" s="2" t="s">
        <v>121</v>
      </c>
      <c r="E22" s="2">
        <f t="shared" si="0"/>
        <v>2.61</v>
      </c>
    </row>
    <row r="23" spans="1:5" x14ac:dyDescent="0.25">
      <c r="A23" s="1" t="s">
        <v>23</v>
      </c>
      <c r="B23" s="2">
        <v>50</v>
      </c>
      <c r="C23" s="2">
        <v>2.4500000000000002</v>
      </c>
      <c r="D23" s="2" t="s">
        <v>121</v>
      </c>
      <c r="E23" s="2">
        <f t="shared" si="0"/>
        <v>1.2250000000000001</v>
      </c>
    </row>
    <row r="24" spans="1:5" x14ac:dyDescent="0.25">
      <c r="A24" s="1" t="s">
        <v>24</v>
      </c>
      <c r="B24" s="2">
        <v>75</v>
      </c>
      <c r="C24" s="2">
        <v>4.66</v>
      </c>
      <c r="D24" s="2" t="s">
        <v>121</v>
      </c>
      <c r="E24" s="2">
        <f t="shared" si="0"/>
        <v>3.4950000000000001</v>
      </c>
    </row>
    <row r="25" spans="1:5" x14ac:dyDescent="0.25">
      <c r="A25" s="1" t="s">
        <v>26</v>
      </c>
      <c r="B25" s="2">
        <v>100</v>
      </c>
      <c r="C25" s="2">
        <v>2.12</v>
      </c>
      <c r="D25" s="2" t="s">
        <v>121</v>
      </c>
      <c r="E25" s="2">
        <f t="shared" si="0"/>
        <v>2.12</v>
      </c>
    </row>
    <row r="26" spans="1:5" x14ac:dyDescent="0.25">
      <c r="A26" s="1" t="s">
        <v>27</v>
      </c>
      <c r="B26" s="2">
        <v>150</v>
      </c>
      <c r="C26" s="2">
        <v>2.12</v>
      </c>
      <c r="D26" s="2" t="s">
        <v>121</v>
      </c>
      <c r="E26" s="2">
        <f t="shared" si="0"/>
        <v>3.18</v>
      </c>
    </row>
    <row r="27" spans="1:5" x14ac:dyDescent="0.25">
      <c r="A27" s="1" t="s">
        <v>28</v>
      </c>
      <c r="B27" s="2">
        <v>100</v>
      </c>
      <c r="C27" s="2">
        <v>2.12</v>
      </c>
      <c r="D27" s="2" t="s">
        <v>121</v>
      </c>
      <c r="E27" s="2">
        <f t="shared" si="0"/>
        <v>2.12</v>
      </c>
    </row>
    <row r="28" spans="1:5" x14ac:dyDescent="0.25">
      <c r="A28" s="1" t="s">
        <v>29</v>
      </c>
      <c r="B28" s="2">
        <v>50</v>
      </c>
      <c r="C28" s="2">
        <v>2.19</v>
      </c>
      <c r="D28" s="2" t="s">
        <v>121</v>
      </c>
      <c r="E28" s="2">
        <f t="shared" si="0"/>
        <v>1.095</v>
      </c>
    </row>
    <row r="29" spans="1:5" x14ac:dyDescent="0.25">
      <c r="A29" s="1" t="s">
        <v>30</v>
      </c>
      <c r="B29" s="2">
        <v>150</v>
      </c>
      <c r="C29" s="2">
        <v>2.2599999999999998</v>
      </c>
      <c r="D29" s="2" t="s">
        <v>121</v>
      </c>
      <c r="E29" s="2">
        <f t="shared" si="0"/>
        <v>3.3899999999999992</v>
      </c>
    </row>
    <row r="30" spans="1:5" x14ac:dyDescent="0.25">
      <c r="A30" s="1" t="s">
        <v>31</v>
      </c>
      <c r="B30" s="2">
        <v>150</v>
      </c>
      <c r="C30" s="2">
        <v>3.03</v>
      </c>
      <c r="D30" s="2" t="s">
        <v>121</v>
      </c>
      <c r="E30" s="2">
        <f t="shared" si="0"/>
        <v>4.544999999999999</v>
      </c>
    </row>
    <row r="31" spans="1:5" x14ac:dyDescent="0.25">
      <c r="A31" s="1" t="s">
        <v>32</v>
      </c>
      <c r="B31" s="2">
        <v>200</v>
      </c>
      <c r="C31" s="2">
        <v>3.15</v>
      </c>
      <c r="D31" s="2" t="s">
        <v>121</v>
      </c>
      <c r="E31" s="2">
        <f t="shared" si="0"/>
        <v>6.3</v>
      </c>
    </row>
    <row r="32" spans="1:5" x14ac:dyDescent="0.25">
      <c r="A32" s="1" t="s">
        <v>33</v>
      </c>
      <c r="B32" s="2">
        <v>100</v>
      </c>
      <c r="C32" s="2">
        <v>3.7240000000000002</v>
      </c>
      <c r="D32" s="2" t="s">
        <v>121</v>
      </c>
      <c r="E32" s="2">
        <f t="shared" si="0"/>
        <v>3.7240000000000002</v>
      </c>
    </row>
    <row r="33" spans="1:5" x14ac:dyDescent="0.25">
      <c r="A33" s="1" t="s">
        <v>34</v>
      </c>
      <c r="B33" s="2">
        <v>100</v>
      </c>
      <c r="C33" s="2">
        <v>3.92</v>
      </c>
      <c r="D33" s="2" t="s">
        <v>121</v>
      </c>
      <c r="E33" s="2">
        <f t="shared" si="0"/>
        <v>3.92</v>
      </c>
    </row>
    <row r="34" spans="1:5" x14ac:dyDescent="0.25">
      <c r="A34" s="1" t="s">
        <v>35</v>
      </c>
      <c r="B34" s="2">
        <v>75</v>
      </c>
      <c r="C34" s="2">
        <v>4.2699999999999996</v>
      </c>
      <c r="D34" s="2" t="s">
        <v>121</v>
      </c>
      <c r="E34" s="2">
        <f t="shared" si="0"/>
        <v>3.2024999999999992</v>
      </c>
    </row>
    <row r="35" spans="1:5" x14ac:dyDescent="0.25">
      <c r="A35" s="1" t="s">
        <v>36</v>
      </c>
      <c r="B35" s="2">
        <v>50</v>
      </c>
      <c r="C35" s="2">
        <v>5.46</v>
      </c>
      <c r="D35" s="2" t="s">
        <v>121</v>
      </c>
      <c r="E35" s="2">
        <f t="shared" si="0"/>
        <v>2.73</v>
      </c>
    </row>
    <row r="36" spans="1:5" x14ac:dyDescent="0.25">
      <c r="A36" s="1" t="s">
        <v>118</v>
      </c>
      <c r="B36" s="2">
        <v>100</v>
      </c>
      <c r="C36" s="2">
        <v>5.66</v>
      </c>
      <c r="D36" s="2" t="s">
        <v>121</v>
      </c>
      <c r="E36" s="2">
        <f t="shared" si="0"/>
        <v>5.66</v>
      </c>
    </row>
    <row r="37" spans="1:5" x14ac:dyDescent="0.25">
      <c r="A37" s="1" t="s">
        <v>37</v>
      </c>
      <c r="B37" s="2">
        <v>150</v>
      </c>
      <c r="C37" s="2">
        <v>8.41</v>
      </c>
      <c r="D37" s="2" t="s">
        <v>121</v>
      </c>
      <c r="E37" s="2">
        <f t="shared" si="0"/>
        <v>12.615</v>
      </c>
    </row>
    <row r="38" spans="1:5" x14ac:dyDescent="0.25">
      <c r="A38" s="1" t="s">
        <v>38</v>
      </c>
      <c r="B38" s="2">
        <v>150</v>
      </c>
      <c r="C38" s="2">
        <v>11.94</v>
      </c>
      <c r="D38" s="2" t="s">
        <v>121</v>
      </c>
      <c r="E38" s="2">
        <f t="shared" si="0"/>
        <v>17.91</v>
      </c>
    </row>
    <row r="39" spans="1:5" x14ac:dyDescent="0.25">
      <c r="A39" s="1" t="s">
        <v>39</v>
      </c>
      <c r="B39" s="2">
        <v>100</v>
      </c>
      <c r="C39" s="2">
        <v>11.875</v>
      </c>
      <c r="D39" s="2" t="s">
        <v>121</v>
      </c>
      <c r="E39" s="2">
        <f t="shared" si="0"/>
        <v>11.875</v>
      </c>
    </row>
    <row r="40" spans="1:5" x14ac:dyDescent="0.25">
      <c r="A40" s="1" t="s">
        <v>133</v>
      </c>
      <c r="B40" s="2">
        <v>20</v>
      </c>
      <c r="C40" s="2">
        <v>21.71</v>
      </c>
      <c r="D40" s="2" t="s">
        <v>121</v>
      </c>
      <c r="E40" s="2">
        <f t="shared" si="0"/>
        <v>4.3420000000000005</v>
      </c>
    </row>
    <row r="41" spans="1:5" x14ac:dyDescent="0.25">
      <c r="A41" s="1" t="s">
        <v>119</v>
      </c>
      <c r="B41" s="2">
        <v>20</v>
      </c>
      <c r="C41" s="2">
        <v>35.24</v>
      </c>
      <c r="D41" s="2" t="s">
        <v>121</v>
      </c>
      <c r="E41" s="2">
        <f>B41*C41/100</f>
        <v>7.0480000000000009</v>
      </c>
    </row>
    <row r="42" spans="1:5" x14ac:dyDescent="0.25">
      <c r="A42" s="1" t="s">
        <v>44</v>
      </c>
      <c r="B42" s="2">
        <v>0</v>
      </c>
      <c r="C42" s="2">
        <v>35.24</v>
      </c>
      <c r="D42" s="2" t="s">
        <v>121</v>
      </c>
      <c r="E42" s="2">
        <f>B42*C42/100</f>
        <v>0</v>
      </c>
    </row>
    <row r="43" spans="1:5" x14ac:dyDescent="0.25">
      <c r="A43" s="1" t="s">
        <v>120</v>
      </c>
      <c r="B43" s="2">
        <v>120</v>
      </c>
      <c r="C43" s="2">
        <v>13.15</v>
      </c>
      <c r="D43" s="2" t="s">
        <v>121</v>
      </c>
      <c r="E43" s="2">
        <f>B43*C43/100</f>
        <v>15.78</v>
      </c>
    </row>
    <row r="44" spans="1:5" x14ac:dyDescent="0.25">
      <c r="A44" s="1" t="s">
        <v>122</v>
      </c>
      <c r="B44" s="2">
        <v>115</v>
      </c>
      <c r="C44" s="2">
        <v>15.56</v>
      </c>
      <c r="D44" s="2" t="s">
        <v>121</v>
      </c>
      <c r="E44" s="2">
        <f t="shared" ref="E44:E46" si="1">B44*C44/100</f>
        <v>17.894000000000002</v>
      </c>
    </row>
    <row r="45" spans="1:5" x14ac:dyDescent="0.25">
      <c r="A45" s="1" t="s">
        <v>123</v>
      </c>
      <c r="B45" s="2">
        <v>100</v>
      </c>
      <c r="C45" s="2">
        <v>28.44</v>
      </c>
      <c r="D45" s="2" t="s">
        <v>121</v>
      </c>
      <c r="E45" s="2">
        <f t="shared" si="1"/>
        <v>28.44</v>
      </c>
    </row>
    <row r="46" spans="1:5" x14ac:dyDescent="0.25">
      <c r="A46" s="1" t="s">
        <v>124</v>
      </c>
      <c r="B46" s="2">
        <v>50</v>
      </c>
      <c r="C46" s="2">
        <v>10.54</v>
      </c>
      <c r="D46" s="2" t="s">
        <v>121</v>
      </c>
      <c r="E46" s="2">
        <f t="shared" si="1"/>
        <v>5.27</v>
      </c>
    </row>
    <row r="47" spans="1:5" x14ac:dyDescent="0.25">
      <c r="A47" s="1" t="s">
        <v>125</v>
      </c>
      <c r="B47" s="2">
        <v>0</v>
      </c>
      <c r="C47" s="2">
        <v>0.67</v>
      </c>
      <c r="D47" s="2" t="s">
        <v>81</v>
      </c>
      <c r="E47" s="2">
        <f>B47*C47</f>
        <v>0</v>
      </c>
    </row>
    <row r="48" spans="1:5" x14ac:dyDescent="0.25">
      <c r="A48" s="1" t="s">
        <v>135</v>
      </c>
      <c r="B48" s="2">
        <v>50</v>
      </c>
      <c r="C48" s="2"/>
      <c r="D48" s="2" t="s">
        <v>121</v>
      </c>
      <c r="E48" s="2">
        <f>B48*C48/100</f>
        <v>0</v>
      </c>
    </row>
    <row r="49" spans="1:5" x14ac:dyDescent="0.25">
      <c r="A49" s="1" t="s">
        <v>47</v>
      </c>
      <c r="B49" s="2">
        <v>150</v>
      </c>
      <c r="C49" s="2">
        <v>2.1</v>
      </c>
      <c r="D49" s="2" t="s">
        <v>121</v>
      </c>
      <c r="E49" s="2">
        <f>B49*C49/100</f>
        <v>3.15</v>
      </c>
    </row>
    <row r="50" spans="1:5" x14ac:dyDescent="0.25">
      <c r="A50" s="1" t="s">
        <v>40</v>
      </c>
      <c r="B50" s="2">
        <v>5</v>
      </c>
      <c r="C50" s="2">
        <v>5.056</v>
      </c>
      <c r="D50" s="2" t="s">
        <v>83</v>
      </c>
      <c r="E50" s="2">
        <v>25.28</v>
      </c>
    </row>
    <row r="51" spans="1:5" x14ac:dyDescent="0.25">
      <c r="A51" s="1" t="s">
        <v>41</v>
      </c>
      <c r="B51" s="2">
        <v>0</v>
      </c>
      <c r="C51" s="2">
        <v>1.6739999999999999</v>
      </c>
      <c r="D51" s="2" t="s">
        <v>83</v>
      </c>
      <c r="E51" s="2">
        <v>1.6739999999999999</v>
      </c>
    </row>
    <row r="52" spans="1:5" x14ac:dyDescent="0.25">
      <c r="A52" s="1" t="s">
        <v>42</v>
      </c>
      <c r="B52" s="2">
        <v>100</v>
      </c>
      <c r="C52" s="2">
        <v>0.1764</v>
      </c>
      <c r="D52" s="2" t="s">
        <v>81</v>
      </c>
      <c r="E52" s="2">
        <f>B52*C52</f>
        <v>17.64</v>
      </c>
    </row>
    <row r="53" spans="1:5" x14ac:dyDescent="0.25">
      <c r="A53" s="1" t="s">
        <v>143</v>
      </c>
      <c r="B53" s="2">
        <v>50</v>
      </c>
      <c r="C53" s="2">
        <v>0.19620000000000001</v>
      </c>
      <c r="D53" s="2" t="s">
        <v>81</v>
      </c>
      <c r="E53" s="2">
        <f>B53*C53</f>
        <v>9.81</v>
      </c>
    </row>
    <row r="54" spans="1:5" x14ac:dyDescent="0.25">
      <c r="A54" s="1" t="s">
        <v>43</v>
      </c>
      <c r="B54" s="2">
        <v>12</v>
      </c>
      <c r="C54" s="2">
        <v>0.30580000000000002</v>
      </c>
      <c r="D54" s="2" t="s">
        <v>81</v>
      </c>
      <c r="E54" s="2">
        <f>B54*C54</f>
        <v>3.6696</v>
      </c>
    </row>
    <row r="55" spans="1:5" x14ac:dyDescent="0.25">
      <c r="A55" s="1" t="s">
        <v>46</v>
      </c>
      <c r="B55" s="2">
        <v>0</v>
      </c>
      <c r="C55" s="2">
        <v>204.36</v>
      </c>
      <c r="D55" s="2" t="s">
        <v>121</v>
      </c>
      <c r="E55" s="2">
        <f>B55*C55/100</f>
        <v>0</v>
      </c>
    </row>
    <row r="56" spans="1:5" x14ac:dyDescent="0.25">
      <c r="A56" s="1" t="s">
        <v>51</v>
      </c>
      <c r="B56" s="2">
        <v>100</v>
      </c>
      <c r="C56" s="2">
        <v>4.0399999999999998E-2</v>
      </c>
      <c r="D56" s="2" t="s">
        <v>121</v>
      </c>
      <c r="E56" s="2">
        <f>B56*C56</f>
        <v>4.04</v>
      </c>
    </row>
    <row r="57" spans="1:5" x14ac:dyDescent="0.25">
      <c r="A57" s="1" t="s">
        <v>50</v>
      </c>
      <c r="B57" s="2">
        <v>150</v>
      </c>
      <c r="C57" s="2">
        <v>4.6900000000000004</v>
      </c>
      <c r="D57" s="2" t="s">
        <v>121</v>
      </c>
      <c r="E57" s="2">
        <f>B57*C57/100</f>
        <v>7.035000000000001</v>
      </c>
    </row>
    <row r="58" spans="1:5" x14ac:dyDescent="0.25">
      <c r="A58" s="1" t="s">
        <v>140</v>
      </c>
      <c r="B58" s="2">
        <v>50</v>
      </c>
      <c r="C58" s="2">
        <v>7.44</v>
      </c>
      <c r="D58" s="2" t="s">
        <v>121</v>
      </c>
      <c r="E58" s="2">
        <f>B58*C58/100</f>
        <v>3.72</v>
      </c>
    </row>
    <row r="59" spans="1:5" x14ac:dyDescent="0.25">
      <c r="A59" s="1" t="s">
        <v>48</v>
      </c>
      <c r="B59" s="2">
        <v>50</v>
      </c>
      <c r="C59" s="2">
        <v>0.14000000000000001</v>
      </c>
      <c r="D59" s="2" t="s">
        <v>81</v>
      </c>
      <c r="E59" s="2">
        <f>B59*C59</f>
        <v>7.0000000000000009</v>
      </c>
    </row>
    <row r="60" spans="1:5" x14ac:dyDescent="0.25">
      <c r="A60" s="1" t="s">
        <v>49</v>
      </c>
      <c r="B60" s="2">
        <v>150</v>
      </c>
      <c r="C60" s="2">
        <v>3.1E-2</v>
      </c>
      <c r="D60" s="2" t="s">
        <v>81</v>
      </c>
      <c r="E60" s="2">
        <f>B60*C60</f>
        <v>4.6500000000000004</v>
      </c>
    </row>
    <row r="61" spans="1:5" x14ac:dyDescent="0.25">
      <c r="A61" s="1" t="s">
        <v>239</v>
      </c>
      <c r="B61" s="2">
        <v>0</v>
      </c>
      <c r="C61" s="2">
        <v>0.38</v>
      </c>
      <c r="D61" s="2" t="s">
        <v>81</v>
      </c>
      <c r="E61" s="2">
        <f>B61*C61</f>
        <v>0</v>
      </c>
    </row>
    <row r="62" spans="1:5" x14ac:dyDescent="0.25">
      <c r="A62" s="1" t="s">
        <v>53</v>
      </c>
      <c r="B62" s="2">
        <v>10</v>
      </c>
      <c r="C62" s="2">
        <v>1.4</v>
      </c>
      <c r="D62" s="2" t="s">
        <v>84</v>
      </c>
      <c r="E62" s="2">
        <f>B62*C62</f>
        <v>14</v>
      </c>
    </row>
    <row r="63" spans="1:5" x14ac:dyDescent="0.25">
      <c r="A63" s="1"/>
      <c r="B63" s="1"/>
      <c r="C63" s="1"/>
      <c r="D63" s="1"/>
      <c r="E63" s="1">
        <f>SUM(E3:E62)</f>
        <v>327.33660000000009</v>
      </c>
    </row>
    <row r="69" spans="1:5" ht="26.25" x14ac:dyDescent="0.25">
      <c r="A69" s="29" t="s">
        <v>54</v>
      </c>
      <c r="B69" s="30"/>
      <c r="C69" s="30"/>
      <c r="D69" s="30"/>
      <c r="E69" s="31"/>
    </row>
    <row r="70" spans="1:5" x14ac:dyDescent="0.25">
      <c r="A70" s="2" t="s">
        <v>0</v>
      </c>
      <c r="B70" s="2" t="s">
        <v>3</v>
      </c>
      <c r="C70" s="2" t="s">
        <v>56</v>
      </c>
      <c r="D70" s="2" t="s">
        <v>81</v>
      </c>
      <c r="E70" s="2" t="s">
        <v>1</v>
      </c>
    </row>
    <row r="71" spans="1:5" x14ac:dyDescent="0.25">
      <c r="A71" s="1" t="s">
        <v>102</v>
      </c>
      <c r="B71" s="2">
        <v>30</v>
      </c>
      <c r="C71" s="2">
        <v>2.92</v>
      </c>
      <c r="D71" s="2" t="s">
        <v>82</v>
      </c>
      <c r="E71" s="2">
        <f>B71*C71</f>
        <v>87.6</v>
      </c>
    </row>
    <row r="72" spans="1:5" x14ac:dyDescent="0.25">
      <c r="A72" s="1" t="s">
        <v>103</v>
      </c>
      <c r="B72" s="2">
        <v>30</v>
      </c>
      <c r="C72" s="2">
        <v>2.76</v>
      </c>
      <c r="D72" s="2" t="s">
        <v>82</v>
      </c>
      <c r="E72" s="2">
        <f t="shared" ref="E72:E85" si="2">B72*C72</f>
        <v>82.8</v>
      </c>
    </row>
    <row r="73" spans="1:5" x14ac:dyDescent="0.25">
      <c r="A73" s="1" t="s">
        <v>104</v>
      </c>
      <c r="B73" s="2">
        <v>25</v>
      </c>
      <c r="C73" s="2">
        <v>2.64</v>
      </c>
      <c r="D73" s="2" t="s">
        <v>82</v>
      </c>
      <c r="E73" s="2">
        <f t="shared" si="2"/>
        <v>66</v>
      </c>
    </row>
    <row r="74" spans="1:5" x14ac:dyDescent="0.25">
      <c r="A74" s="1" t="s">
        <v>105</v>
      </c>
      <c r="B74" s="2">
        <v>30</v>
      </c>
      <c r="C74" s="2">
        <v>2.64</v>
      </c>
      <c r="D74" s="2" t="s">
        <v>82</v>
      </c>
      <c r="E74" s="2">
        <f t="shared" si="2"/>
        <v>79.2</v>
      </c>
    </row>
    <row r="75" spans="1:5" x14ac:dyDescent="0.25">
      <c r="A75" s="1" t="s">
        <v>106</v>
      </c>
      <c r="B75" s="2">
        <v>0</v>
      </c>
      <c r="C75" s="2">
        <v>15</v>
      </c>
      <c r="D75" s="2" t="s">
        <v>82</v>
      </c>
      <c r="E75" s="2">
        <f t="shared" si="2"/>
        <v>0</v>
      </c>
    </row>
    <row r="76" spans="1:5" x14ac:dyDescent="0.25">
      <c r="A76" s="1" t="s">
        <v>107</v>
      </c>
      <c r="B76" s="2">
        <v>0</v>
      </c>
      <c r="C76" s="2">
        <v>15</v>
      </c>
      <c r="D76" s="2" t="s">
        <v>82</v>
      </c>
      <c r="E76" s="2">
        <f t="shared" si="2"/>
        <v>0</v>
      </c>
    </row>
    <row r="77" spans="1:5" x14ac:dyDescent="0.25">
      <c r="A77" s="1" t="s">
        <v>284</v>
      </c>
      <c r="B77" s="2">
        <v>1</v>
      </c>
      <c r="C77" s="2">
        <v>15</v>
      </c>
      <c r="D77" s="2" t="s">
        <v>82</v>
      </c>
      <c r="E77" s="2">
        <f t="shared" si="2"/>
        <v>15</v>
      </c>
    </row>
    <row r="78" spans="1:5" x14ac:dyDescent="0.25">
      <c r="A78" s="1" t="s">
        <v>59</v>
      </c>
      <c r="B78" s="2">
        <v>12</v>
      </c>
      <c r="C78" s="2">
        <v>4</v>
      </c>
      <c r="D78" s="2" t="s">
        <v>82</v>
      </c>
      <c r="E78" s="2">
        <f t="shared" si="2"/>
        <v>48</v>
      </c>
    </row>
    <row r="79" spans="1:5" x14ac:dyDescent="0.25">
      <c r="A79" s="1" t="s">
        <v>60</v>
      </c>
      <c r="B79" s="2">
        <v>15</v>
      </c>
      <c r="C79" s="2">
        <v>4</v>
      </c>
      <c r="D79" s="2" t="s">
        <v>82</v>
      </c>
      <c r="E79" s="2">
        <f t="shared" si="2"/>
        <v>60</v>
      </c>
    </row>
    <row r="80" spans="1:5" x14ac:dyDescent="0.25">
      <c r="A80" s="1" t="s">
        <v>61</v>
      </c>
      <c r="B80" s="2">
        <v>0</v>
      </c>
      <c r="C80" s="2">
        <v>2</v>
      </c>
      <c r="D80" s="2" t="s">
        <v>82</v>
      </c>
      <c r="E80" s="2">
        <f t="shared" si="2"/>
        <v>0</v>
      </c>
    </row>
    <row r="81" spans="1:5" x14ac:dyDescent="0.25">
      <c r="A81" s="1" t="s">
        <v>57</v>
      </c>
      <c r="B81" s="2">
        <v>3</v>
      </c>
      <c r="C81" s="2">
        <v>4.92</v>
      </c>
      <c r="D81" s="2" t="s">
        <v>82</v>
      </c>
      <c r="E81" s="2">
        <f t="shared" si="2"/>
        <v>14.76</v>
      </c>
    </row>
    <row r="82" spans="1:5" x14ac:dyDescent="0.25">
      <c r="A82" s="1" t="s">
        <v>58</v>
      </c>
      <c r="B82" s="2">
        <v>20</v>
      </c>
      <c r="C82" s="2">
        <v>8.5400000000000004E-2</v>
      </c>
      <c r="D82" s="2" t="s">
        <v>82</v>
      </c>
      <c r="E82" s="2">
        <f t="shared" si="2"/>
        <v>1.7080000000000002</v>
      </c>
    </row>
    <row r="83" spans="1:5" x14ac:dyDescent="0.25">
      <c r="A83" s="1" t="s">
        <v>144</v>
      </c>
      <c r="B83" s="2">
        <v>0</v>
      </c>
      <c r="C83" s="2">
        <v>1.9419999999999999</v>
      </c>
      <c r="D83" s="2" t="s">
        <v>85</v>
      </c>
      <c r="E83" s="2">
        <f t="shared" si="2"/>
        <v>0</v>
      </c>
    </row>
    <row r="84" spans="1:5" x14ac:dyDescent="0.25">
      <c r="A84" s="1" t="s">
        <v>145</v>
      </c>
      <c r="B84" s="2">
        <v>3</v>
      </c>
      <c r="C84" s="2">
        <v>2.92</v>
      </c>
      <c r="D84" s="2" t="s">
        <v>85</v>
      </c>
      <c r="E84" s="2">
        <f t="shared" si="2"/>
        <v>8.76</v>
      </c>
    </row>
    <row r="85" spans="1:5" x14ac:dyDescent="0.25">
      <c r="A85" s="1" t="s">
        <v>146</v>
      </c>
      <c r="B85" s="2">
        <v>2</v>
      </c>
      <c r="C85" s="2">
        <v>3.72</v>
      </c>
      <c r="D85" s="2" t="s">
        <v>85</v>
      </c>
      <c r="E85" s="2">
        <f t="shared" si="2"/>
        <v>7.44</v>
      </c>
    </row>
    <row r="86" spans="1:5" x14ac:dyDescent="0.25">
      <c r="A86" s="5" t="s">
        <v>75</v>
      </c>
      <c r="B86" s="10">
        <v>15</v>
      </c>
      <c r="C86" s="6">
        <v>46.48</v>
      </c>
      <c r="D86" s="6" t="s">
        <v>152</v>
      </c>
      <c r="E86" s="6">
        <f>B86*C86/1000</f>
        <v>0.69719999999999993</v>
      </c>
    </row>
    <row r="87" spans="1:5" x14ac:dyDescent="0.25">
      <c r="A87" s="5" t="s">
        <v>148</v>
      </c>
      <c r="B87" s="2">
        <v>500</v>
      </c>
      <c r="C87" s="2">
        <v>39.700000000000003</v>
      </c>
      <c r="D87" s="6" t="s">
        <v>152</v>
      </c>
      <c r="E87" s="6">
        <f>B87*C87/1000</f>
        <v>19.850000000000001</v>
      </c>
    </row>
    <row r="88" spans="1:5" x14ac:dyDescent="0.25">
      <c r="A88" s="5" t="s">
        <v>149</v>
      </c>
      <c r="B88" s="2">
        <v>600</v>
      </c>
      <c r="C88" s="2">
        <v>37.659999999999997</v>
      </c>
      <c r="D88" s="6" t="s">
        <v>152</v>
      </c>
      <c r="E88" s="6">
        <f t="shared" ref="E88:E90" si="3">B88*C88/1000</f>
        <v>22.595999999999997</v>
      </c>
    </row>
    <row r="89" spans="1:5" x14ac:dyDescent="0.25">
      <c r="A89" s="5" t="s">
        <v>150</v>
      </c>
      <c r="B89" s="2">
        <v>450</v>
      </c>
      <c r="C89" s="2">
        <v>36.56</v>
      </c>
      <c r="D89" s="6" t="s">
        <v>152</v>
      </c>
      <c r="E89" s="6">
        <f t="shared" si="3"/>
        <v>16.452000000000002</v>
      </c>
    </row>
    <row r="90" spans="1:5" x14ac:dyDescent="0.25">
      <c r="A90" s="1" t="s">
        <v>76</v>
      </c>
      <c r="B90" s="2">
        <v>150</v>
      </c>
      <c r="C90" s="2">
        <v>35.46</v>
      </c>
      <c r="D90" s="6" t="s">
        <v>152</v>
      </c>
      <c r="E90" s="6">
        <f t="shared" si="3"/>
        <v>5.319</v>
      </c>
    </row>
    <row r="91" spans="1:5" x14ac:dyDescent="0.25">
      <c r="A91" s="1" t="s">
        <v>153</v>
      </c>
      <c r="B91" s="2">
        <v>6</v>
      </c>
      <c r="C91" s="2">
        <v>6.29</v>
      </c>
      <c r="D91" s="2" t="s">
        <v>81</v>
      </c>
      <c r="E91" s="6">
        <f t="shared" ref="E91:E92" si="4">B91*C91</f>
        <v>37.74</v>
      </c>
    </row>
    <row r="92" spans="1:5" x14ac:dyDescent="0.25">
      <c r="A92" s="1" t="s">
        <v>154</v>
      </c>
      <c r="B92" s="2">
        <v>2</v>
      </c>
      <c r="C92" s="2">
        <v>14.79</v>
      </c>
      <c r="D92" s="2" t="s">
        <v>81</v>
      </c>
      <c r="E92" s="6">
        <f t="shared" si="4"/>
        <v>29.58</v>
      </c>
    </row>
    <row r="93" spans="1:5" x14ac:dyDescent="0.25">
      <c r="A93" s="1"/>
      <c r="B93" s="2"/>
      <c r="C93" s="2"/>
      <c r="D93" s="2"/>
      <c r="E93" s="2">
        <f>SUM(E71:E92)</f>
        <v>603.50220000000002</v>
      </c>
    </row>
    <row r="96" spans="1:5" ht="26.25" x14ac:dyDescent="0.25">
      <c r="A96" s="29" t="s">
        <v>55</v>
      </c>
      <c r="B96" s="30"/>
      <c r="C96" s="30"/>
      <c r="D96" s="30"/>
      <c r="E96" s="31"/>
    </row>
    <row r="97" spans="1:5" x14ac:dyDescent="0.25">
      <c r="A97" s="2" t="s">
        <v>0</v>
      </c>
      <c r="B97" s="2" t="s">
        <v>3</v>
      </c>
      <c r="C97" s="2" t="s">
        <v>56</v>
      </c>
      <c r="D97" s="2" t="s">
        <v>81</v>
      </c>
      <c r="E97" s="2" t="s">
        <v>1</v>
      </c>
    </row>
    <row r="98" spans="1:5" x14ac:dyDescent="0.25">
      <c r="A98" s="1" t="s">
        <v>62</v>
      </c>
      <c r="B98" s="2">
        <v>8</v>
      </c>
      <c r="C98" s="2">
        <v>8.76</v>
      </c>
      <c r="D98" s="2" t="s">
        <v>87</v>
      </c>
      <c r="E98" s="2">
        <f t="shared" ref="E98:E105" si="5">B98*C98</f>
        <v>70.08</v>
      </c>
    </row>
    <row r="99" spans="1:5" x14ac:dyDescent="0.25">
      <c r="A99" s="1" t="s">
        <v>285</v>
      </c>
      <c r="B99" s="2">
        <v>12</v>
      </c>
      <c r="C99" s="2">
        <v>4</v>
      </c>
      <c r="D99" s="2" t="s">
        <v>87</v>
      </c>
      <c r="E99" s="2">
        <f t="shared" si="5"/>
        <v>48</v>
      </c>
    </row>
    <row r="100" spans="1:5" x14ac:dyDescent="0.25">
      <c r="A100" s="1" t="s">
        <v>64</v>
      </c>
      <c r="B100" s="2">
        <v>8</v>
      </c>
      <c r="C100" s="2">
        <v>3.34</v>
      </c>
      <c r="D100" s="2" t="s">
        <v>87</v>
      </c>
      <c r="E100" s="2">
        <f t="shared" si="5"/>
        <v>26.72</v>
      </c>
    </row>
    <row r="101" spans="1:5" x14ac:dyDescent="0.25">
      <c r="A101" s="1" t="s">
        <v>161</v>
      </c>
      <c r="B101" s="2">
        <v>12</v>
      </c>
      <c r="C101" s="2">
        <v>1.07</v>
      </c>
      <c r="D101" s="2" t="s">
        <v>87</v>
      </c>
      <c r="E101" s="2">
        <f t="shared" si="5"/>
        <v>12.84</v>
      </c>
    </row>
    <row r="102" spans="1:5" x14ac:dyDescent="0.25">
      <c r="A102" s="1" t="s">
        <v>167</v>
      </c>
      <c r="B102" s="2">
        <v>0</v>
      </c>
      <c r="C102" s="2">
        <v>7.13</v>
      </c>
      <c r="D102" s="2" t="s">
        <v>83</v>
      </c>
      <c r="E102" s="2">
        <f t="shared" si="5"/>
        <v>0</v>
      </c>
    </row>
    <row r="103" spans="1:5" x14ac:dyDescent="0.25">
      <c r="A103" s="1" t="s">
        <v>168</v>
      </c>
      <c r="B103" s="2">
        <v>1</v>
      </c>
      <c r="C103" s="2">
        <v>3</v>
      </c>
      <c r="D103" s="2" t="s">
        <v>83</v>
      </c>
      <c r="E103" s="2">
        <f t="shared" si="5"/>
        <v>3</v>
      </c>
    </row>
    <row r="104" spans="1:5" x14ac:dyDescent="0.25">
      <c r="A104" s="1" t="s">
        <v>169</v>
      </c>
      <c r="B104" s="2">
        <v>0</v>
      </c>
      <c r="C104" s="2">
        <v>20.11</v>
      </c>
      <c r="D104" s="2" t="s">
        <v>170</v>
      </c>
      <c r="E104" s="2">
        <f t="shared" si="5"/>
        <v>0</v>
      </c>
    </row>
    <row r="105" spans="1:5" x14ac:dyDescent="0.25">
      <c r="A105" s="1" t="s">
        <v>171</v>
      </c>
      <c r="B105" s="2">
        <v>0</v>
      </c>
      <c r="C105" s="2">
        <v>17.3</v>
      </c>
      <c r="D105" s="2" t="s">
        <v>86</v>
      </c>
      <c r="E105" s="2">
        <f t="shared" si="5"/>
        <v>0</v>
      </c>
    </row>
    <row r="106" spans="1:5" x14ac:dyDescent="0.25">
      <c r="A106" s="1"/>
      <c r="B106" s="1"/>
      <c r="C106" s="1"/>
      <c r="D106" s="1"/>
      <c r="E106" s="1">
        <f>SUM(E98:E105)</f>
        <v>160.64000000000001</v>
      </c>
    </row>
    <row r="109" spans="1:5" ht="26.25" x14ac:dyDescent="0.25">
      <c r="A109" s="29" t="s">
        <v>172</v>
      </c>
      <c r="B109" s="30"/>
      <c r="C109" s="30"/>
      <c r="D109" s="30"/>
      <c r="E109" s="31"/>
    </row>
    <row r="110" spans="1:5" x14ac:dyDescent="0.25">
      <c r="A110" s="2" t="s">
        <v>0</v>
      </c>
      <c r="B110" s="2" t="s">
        <v>3</v>
      </c>
      <c r="C110" s="2" t="s">
        <v>56</v>
      </c>
      <c r="D110" s="2" t="s">
        <v>81</v>
      </c>
      <c r="E110" s="2" t="s">
        <v>1</v>
      </c>
    </row>
    <row r="111" spans="1:5" x14ac:dyDescent="0.25">
      <c r="A111" s="1" t="s">
        <v>175</v>
      </c>
      <c r="B111" s="2">
        <v>11.592000000000001</v>
      </c>
      <c r="C111" s="2">
        <v>5.2</v>
      </c>
      <c r="D111" s="2" t="s">
        <v>88</v>
      </c>
      <c r="E111" s="2">
        <f>B111*C111</f>
        <v>60.278400000000005</v>
      </c>
    </row>
    <row r="112" spans="1:5" x14ac:dyDescent="0.25">
      <c r="A112" s="1" t="s">
        <v>176</v>
      </c>
      <c r="B112" s="2">
        <v>5.7960000000000003</v>
      </c>
      <c r="C112" s="2">
        <v>5.46</v>
      </c>
      <c r="D112" s="2" t="s">
        <v>88</v>
      </c>
      <c r="E112" s="2">
        <f>B112*C112</f>
        <v>31.646160000000002</v>
      </c>
    </row>
    <row r="113" spans="1:5" x14ac:dyDescent="0.25">
      <c r="A113" s="1" t="s">
        <v>177</v>
      </c>
      <c r="B113" s="2">
        <v>121.71599999999999</v>
      </c>
      <c r="C113" s="2">
        <v>5.35</v>
      </c>
      <c r="D113" s="2" t="s">
        <v>88</v>
      </c>
      <c r="E113" s="2">
        <f>B113*C113</f>
        <v>651.18059999999991</v>
      </c>
    </row>
    <row r="114" spans="1:5" x14ac:dyDescent="0.25">
      <c r="A114" s="1"/>
      <c r="B114" s="1"/>
      <c r="C114" s="1"/>
      <c r="D114" s="1"/>
      <c r="E114" s="1">
        <f>SUM(E111:E113)</f>
        <v>743.10515999999996</v>
      </c>
    </row>
    <row r="116" spans="1:5" x14ac:dyDescent="0.25">
      <c r="B116" s="2"/>
    </row>
    <row r="117" spans="1:5" x14ac:dyDescent="0.25">
      <c r="E117">
        <f>SUM(E63+E93+E106+E145)</f>
        <v>2451.9388000000004</v>
      </c>
    </row>
    <row r="125" spans="1:5" ht="26.25" x14ac:dyDescent="0.25">
      <c r="A125" s="29" t="s">
        <v>110</v>
      </c>
      <c r="B125" s="30"/>
      <c r="C125" s="30"/>
      <c r="D125" s="30"/>
      <c r="E125" s="31"/>
    </row>
    <row r="126" spans="1:5" x14ac:dyDescent="0.25">
      <c r="A126" s="2" t="s">
        <v>0</v>
      </c>
      <c r="B126" s="2" t="s">
        <v>3</v>
      </c>
      <c r="C126" s="2" t="s">
        <v>56</v>
      </c>
      <c r="D126" s="2" t="s">
        <v>81</v>
      </c>
      <c r="E126" s="2" t="s">
        <v>1</v>
      </c>
    </row>
    <row r="127" spans="1:5" x14ac:dyDescent="0.25">
      <c r="A127" s="1" t="s">
        <v>216</v>
      </c>
      <c r="B127" s="2">
        <v>152</v>
      </c>
      <c r="C127" s="2">
        <v>2.2400000000000002</v>
      </c>
      <c r="D127" s="2" t="s">
        <v>81</v>
      </c>
      <c r="E127" s="2">
        <f t="shared" ref="E127:E144" si="6">B127*C127</f>
        <v>340.48</v>
      </c>
    </row>
    <row r="128" spans="1:5" x14ac:dyDescent="0.25">
      <c r="A128" s="1" t="s">
        <v>224</v>
      </c>
      <c r="B128" s="2">
        <v>15</v>
      </c>
      <c r="C128" s="2">
        <v>0.54</v>
      </c>
      <c r="D128" s="2" t="s">
        <v>81</v>
      </c>
      <c r="E128" s="2">
        <f t="shared" si="6"/>
        <v>8.1000000000000014</v>
      </c>
    </row>
    <row r="129" spans="1:5" x14ac:dyDescent="0.25">
      <c r="A129" s="1" t="s">
        <v>225</v>
      </c>
      <c r="B129" s="2">
        <v>20</v>
      </c>
      <c r="C129" s="2">
        <v>0.79</v>
      </c>
      <c r="D129" s="2" t="s">
        <v>81</v>
      </c>
      <c r="E129" s="2">
        <f t="shared" si="6"/>
        <v>15.8</v>
      </c>
    </row>
    <row r="130" spans="1:5" x14ac:dyDescent="0.25">
      <c r="A130" s="1" t="s">
        <v>226</v>
      </c>
      <c r="B130" s="2">
        <v>350</v>
      </c>
      <c r="C130" s="2">
        <v>0.38</v>
      </c>
      <c r="D130" s="2" t="s">
        <v>81</v>
      </c>
      <c r="E130" s="2">
        <f t="shared" si="6"/>
        <v>133</v>
      </c>
    </row>
    <row r="131" spans="1:5" x14ac:dyDescent="0.25">
      <c r="A131" s="1" t="s">
        <v>229</v>
      </c>
      <c r="B131" s="2">
        <v>0</v>
      </c>
      <c r="C131" s="2">
        <v>1.66</v>
      </c>
      <c r="D131" s="2" t="s">
        <v>81</v>
      </c>
      <c r="E131" s="2">
        <f t="shared" si="6"/>
        <v>0</v>
      </c>
    </row>
    <row r="132" spans="1:5" x14ac:dyDescent="0.25">
      <c r="A132" s="1" t="s">
        <v>230</v>
      </c>
      <c r="B132" s="2">
        <v>8</v>
      </c>
      <c r="C132" s="2">
        <v>0.78</v>
      </c>
      <c r="D132" s="2" t="s">
        <v>81</v>
      </c>
      <c r="E132" s="2">
        <f t="shared" si="6"/>
        <v>6.24</v>
      </c>
    </row>
    <row r="133" spans="1:5" x14ac:dyDescent="0.25">
      <c r="A133" s="1" t="s">
        <v>231</v>
      </c>
      <c r="B133" s="2">
        <v>6</v>
      </c>
      <c r="C133" s="2">
        <v>31.3</v>
      </c>
      <c r="D133" s="2" t="s">
        <v>81</v>
      </c>
      <c r="E133" s="2">
        <f t="shared" si="6"/>
        <v>187.8</v>
      </c>
    </row>
    <row r="134" spans="1:5" x14ac:dyDescent="0.25">
      <c r="A134" s="1" t="s">
        <v>232</v>
      </c>
      <c r="B134" s="2">
        <v>6</v>
      </c>
      <c r="C134" s="2">
        <v>31.3</v>
      </c>
      <c r="D134" s="2" t="s">
        <v>81</v>
      </c>
      <c r="E134" s="2">
        <f t="shared" si="6"/>
        <v>187.8</v>
      </c>
    </row>
    <row r="135" spans="1:5" x14ac:dyDescent="0.25">
      <c r="A135" s="1" t="s">
        <v>237</v>
      </c>
      <c r="B135" s="2">
        <v>80</v>
      </c>
      <c r="C135" s="2">
        <v>0.66249999999999998</v>
      </c>
      <c r="D135" s="2" t="s">
        <v>81</v>
      </c>
      <c r="E135" s="2">
        <f t="shared" si="6"/>
        <v>53</v>
      </c>
    </row>
    <row r="136" spans="1:5" x14ac:dyDescent="0.25">
      <c r="A136" s="1" t="s">
        <v>238</v>
      </c>
      <c r="B136" s="2">
        <v>80</v>
      </c>
      <c r="C136" s="2">
        <v>1.08</v>
      </c>
      <c r="D136" s="2" t="s">
        <v>81</v>
      </c>
      <c r="E136" s="2">
        <f t="shared" si="6"/>
        <v>86.4</v>
      </c>
    </row>
    <row r="137" spans="1:5" x14ac:dyDescent="0.25">
      <c r="A137" s="1" t="s">
        <v>247</v>
      </c>
      <c r="B137" s="2">
        <v>13</v>
      </c>
      <c r="C137" s="2">
        <v>1.83</v>
      </c>
      <c r="D137" s="2" t="s">
        <v>81</v>
      </c>
      <c r="E137" s="2">
        <f t="shared" si="6"/>
        <v>23.79</v>
      </c>
    </row>
    <row r="138" spans="1:5" x14ac:dyDescent="0.25">
      <c r="A138" s="1" t="s">
        <v>248</v>
      </c>
      <c r="B138" s="2">
        <v>2</v>
      </c>
      <c r="C138" s="2">
        <v>0.7</v>
      </c>
      <c r="D138" s="2" t="s">
        <v>81</v>
      </c>
      <c r="E138" s="2">
        <f t="shared" si="6"/>
        <v>1.4</v>
      </c>
    </row>
    <row r="139" spans="1:5" x14ac:dyDescent="0.25">
      <c r="A139" s="1" t="s">
        <v>249</v>
      </c>
      <c r="B139" s="2">
        <v>56</v>
      </c>
      <c r="C139" s="2">
        <v>0.8</v>
      </c>
      <c r="D139" s="2" t="s">
        <v>81</v>
      </c>
      <c r="E139" s="2">
        <f t="shared" si="6"/>
        <v>44.800000000000004</v>
      </c>
    </row>
    <row r="140" spans="1:5" x14ac:dyDescent="0.25">
      <c r="A140" s="1" t="s">
        <v>253</v>
      </c>
      <c r="B140" s="2">
        <v>50</v>
      </c>
      <c r="C140" s="2">
        <v>3.37</v>
      </c>
      <c r="D140" s="2" t="s">
        <v>81</v>
      </c>
      <c r="E140" s="2">
        <f t="shared" si="6"/>
        <v>168.5</v>
      </c>
    </row>
    <row r="141" spans="1:5" x14ac:dyDescent="0.25">
      <c r="A141" s="1" t="s">
        <v>254</v>
      </c>
      <c r="B141" s="2">
        <v>10</v>
      </c>
      <c r="C141" s="2">
        <v>3.45</v>
      </c>
      <c r="D141" s="2" t="s">
        <v>81</v>
      </c>
      <c r="E141" s="2">
        <f t="shared" si="6"/>
        <v>34.5</v>
      </c>
    </row>
    <row r="142" spans="1:5" x14ac:dyDescent="0.25">
      <c r="A142" s="1" t="s">
        <v>255</v>
      </c>
      <c r="B142" s="2">
        <v>12</v>
      </c>
      <c r="C142" s="2">
        <v>3.97</v>
      </c>
      <c r="D142" s="2" t="s">
        <v>81</v>
      </c>
      <c r="E142" s="2">
        <f t="shared" si="6"/>
        <v>47.64</v>
      </c>
    </row>
    <row r="143" spans="1:5" x14ac:dyDescent="0.25">
      <c r="A143" s="1" t="s">
        <v>280</v>
      </c>
      <c r="B143" s="2">
        <v>1</v>
      </c>
      <c r="C143" s="2">
        <v>6.81</v>
      </c>
      <c r="D143" s="2" t="s">
        <v>81</v>
      </c>
      <c r="E143" s="2">
        <f t="shared" si="6"/>
        <v>6.81</v>
      </c>
    </row>
    <row r="144" spans="1:5" x14ac:dyDescent="0.25">
      <c r="A144" s="1" t="s">
        <v>252</v>
      </c>
      <c r="B144" s="2">
        <v>45</v>
      </c>
      <c r="C144" s="2">
        <v>0.32</v>
      </c>
      <c r="D144" s="2" t="s">
        <v>81</v>
      </c>
      <c r="E144" s="2">
        <f t="shared" si="6"/>
        <v>14.4</v>
      </c>
    </row>
    <row r="145" spans="1:5" x14ac:dyDescent="0.25">
      <c r="A145" s="1"/>
      <c r="B145" s="1"/>
      <c r="C145" s="1"/>
      <c r="D145" s="1"/>
      <c r="E145" s="1">
        <f>SUM(E127:E144)</f>
        <v>1360.4600000000003</v>
      </c>
    </row>
    <row r="148" spans="1:5" x14ac:dyDescent="0.25">
      <c r="D148" s="1" t="s">
        <v>109</v>
      </c>
      <c r="E148" s="1">
        <f>SUM(E63+E93+E106+E114+E145)</f>
        <v>3195.04396</v>
      </c>
    </row>
  </sheetData>
  <mergeCells count="5">
    <mergeCell ref="A1:E1"/>
    <mergeCell ref="A69:E69"/>
    <mergeCell ref="A96:E96"/>
    <mergeCell ref="A109:E109"/>
    <mergeCell ref="A125:E125"/>
  </mergeCells>
  <pageMargins left="0.7" right="0.7" top="0.75" bottom="0.75" header="0.3" footer="0.3"/>
  <pageSetup paperSize="9" orientation="landscape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D6BADD-4C07-4836-86DC-F6FC93814AEA}">
  <dimension ref="A1:F149"/>
  <sheetViews>
    <sheetView topLeftCell="A118" workbookViewId="0">
      <selection activeCell="H157" sqref="H157"/>
    </sheetView>
  </sheetViews>
  <sheetFormatPr baseColWidth="10" defaultRowHeight="15" x14ac:dyDescent="0.25"/>
  <cols>
    <col min="1" max="1" width="45.5703125" customWidth="1"/>
    <col min="3" max="3" width="11.28515625" bestFit="1" customWidth="1"/>
  </cols>
  <sheetData>
    <row r="1" spans="1:6" ht="40.5" customHeight="1" x14ac:dyDescent="0.4">
      <c r="A1" s="29" t="s">
        <v>25</v>
      </c>
      <c r="B1" s="30"/>
      <c r="C1" s="30"/>
      <c r="D1" s="30"/>
      <c r="E1" s="31"/>
      <c r="F1" s="3"/>
    </row>
    <row r="2" spans="1:6" ht="17.25" customHeight="1" x14ac:dyDescent="0.25">
      <c r="A2" s="2" t="s">
        <v>0</v>
      </c>
      <c r="B2" s="2" t="s">
        <v>3</v>
      </c>
      <c r="C2" s="2" t="s">
        <v>56</v>
      </c>
      <c r="D2" s="2" t="s">
        <v>81</v>
      </c>
      <c r="E2" s="2" t="s">
        <v>1</v>
      </c>
    </row>
    <row r="3" spans="1:6" x14ac:dyDescent="0.25">
      <c r="A3" s="1" t="s">
        <v>2</v>
      </c>
      <c r="B3" s="2">
        <v>20</v>
      </c>
      <c r="C3" s="2">
        <v>0.99</v>
      </c>
      <c r="D3" s="2" t="s">
        <v>121</v>
      </c>
      <c r="E3" s="2">
        <f t="shared" ref="E3:E40" si="0">B3*C3/100</f>
        <v>0.19800000000000001</v>
      </c>
    </row>
    <row r="4" spans="1:6" x14ac:dyDescent="0.25">
      <c r="A4" s="1" t="s">
        <v>4</v>
      </c>
      <c r="B4" s="2">
        <v>100</v>
      </c>
      <c r="C4" s="2">
        <v>1.05</v>
      </c>
      <c r="D4" s="2" t="s">
        <v>121</v>
      </c>
      <c r="E4" s="2">
        <f t="shared" si="0"/>
        <v>1.05</v>
      </c>
    </row>
    <row r="5" spans="1:6" x14ac:dyDescent="0.25">
      <c r="A5" s="1" t="s">
        <v>5</v>
      </c>
      <c r="B5" s="2">
        <v>50</v>
      </c>
      <c r="C5" s="2">
        <v>1.05</v>
      </c>
      <c r="D5" s="2" t="s">
        <v>121</v>
      </c>
      <c r="E5" s="2">
        <f t="shared" si="0"/>
        <v>0.52500000000000002</v>
      </c>
    </row>
    <row r="6" spans="1:6" x14ac:dyDescent="0.25">
      <c r="A6" s="1" t="s">
        <v>6</v>
      </c>
      <c r="B6" s="2">
        <v>70</v>
      </c>
      <c r="C6" s="2">
        <v>1.17</v>
      </c>
      <c r="D6" s="2" t="s">
        <v>121</v>
      </c>
      <c r="E6" s="2">
        <f t="shared" si="0"/>
        <v>0.81899999999999995</v>
      </c>
    </row>
    <row r="7" spans="1:6" x14ac:dyDescent="0.25">
      <c r="A7" s="1" t="s">
        <v>7</v>
      </c>
      <c r="B7" s="2">
        <v>100</v>
      </c>
      <c r="C7" s="2">
        <v>1.23</v>
      </c>
      <c r="D7" s="2" t="s">
        <v>121</v>
      </c>
      <c r="E7" s="2">
        <f t="shared" si="0"/>
        <v>1.23</v>
      </c>
    </row>
    <row r="8" spans="1:6" x14ac:dyDescent="0.25">
      <c r="A8" s="1" t="s">
        <v>8</v>
      </c>
      <c r="B8" s="2">
        <v>150</v>
      </c>
      <c r="C8" s="2">
        <v>1.35</v>
      </c>
      <c r="D8" s="2" t="s">
        <v>121</v>
      </c>
      <c r="E8" s="2">
        <f t="shared" si="0"/>
        <v>2.0249999999999999</v>
      </c>
    </row>
    <row r="9" spans="1:6" x14ac:dyDescent="0.25">
      <c r="A9" s="1" t="s">
        <v>9</v>
      </c>
      <c r="B9" s="2">
        <v>50</v>
      </c>
      <c r="C9" s="2">
        <v>1.81</v>
      </c>
      <c r="D9" s="2" t="s">
        <v>121</v>
      </c>
      <c r="E9" s="2">
        <f t="shared" si="0"/>
        <v>0.90500000000000003</v>
      </c>
    </row>
    <row r="10" spans="1:6" x14ac:dyDescent="0.25">
      <c r="A10" s="1" t="s">
        <v>10</v>
      </c>
      <c r="B10" s="2">
        <v>100</v>
      </c>
      <c r="C10" s="2">
        <v>1.05</v>
      </c>
      <c r="D10" s="2" t="s">
        <v>121</v>
      </c>
      <c r="E10" s="2">
        <f t="shared" si="0"/>
        <v>1.05</v>
      </c>
    </row>
    <row r="11" spans="1:6" x14ac:dyDescent="0.25">
      <c r="A11" s="1" t="s">
        <v>11</v>
      </c>
      <c r="B11" s="2">
        <v>120</v>
      </c>
      <c r="C11" s="2">
        <v>1.1000000000000001</v>
      </c>
      <c r="D11" s="2" t="s">
        <v>121</v>
      </c>
      <c r="E11" s="2">
        <f t="shared" si="0"/>
        <v>1.32</v>
      </c>
    </row>
    <row r="12" spans="1:6" x14ac:dyDescent="0.25">
      <c r="A12" s="1" t="s">
        <v>12</v>
      </c>
      <c r="B12" s="2">
        <v>50</v>
      </c>
      <c r="C12" s="2">
        <v>1.17</v>
      </c>
      <c r="D12" s="2" t="s">
        <v>121</v>
      </c>
      <c r="E12" s="2">
        <f t="shared" si="0"/>
        <v>0.58499999999999996</v>
      </c>
    </row>
    <row r="13" spans="1:6" x14ac:dyDescent="0.25">
      <c r="A13" s="1" t="s">
        <v>13</v>
      </c>
      <c r="B13" s="2">
        <v>100</v>
      </c>
      <c r="C13" s="2">
        <v>1.23</v>
      </c>
      <c r="D13" s="2" t="s">
        <v>121</v>
      </c>
      <c r="E13" s="2">
        <f t="shared" si="0"/>
        <v>1.23</v>
      </c>
    </row>
    <row r="14" spans="1:6" x14ac:dyDescent="0.25">
      <c r="A14" s="1" t="s">
        <v>14</v>
      </c>
      <c r="B14" s="2">
        <v>200</v>
      </c>
      <c r="C14" s="2">
        <v>2.3199999999999998</v>
      </c>
      <c r="D14" s="2" t="s">
        <v>121</v>
      </c>
      <c r="E14" s="2">
        <f t="shared" si="0"/>
        <v>4.6399999999999997</v>
      </c>
    </row>
    <row r="15" spans="1:6" x14ac:dyDescent="0.25">
      <c r="A15" s="1" t="s">
        <v>15</v>
      </c>
      <c r="B15" s="2">
        <v>150</v>
      </c>
      <c r="C15" s="2">
        <v>1.69</v>
      </c>
      <c r="D15" s="2" t="s">
        <v>121</v>
      </c>
      <c r="E15" s="2">
        <f t="shared" si="0"/>
        <v>2.5350000000000001</v>
      </c>
    </row>
    <row r="16" spans="1:6" x14ac:dyDescent="0.25">
      <c r="A16" s="1" t="s">
        <v>16</v>
      </c>
      <c r="B16" s="2">
        <v>200</v>
      </c>
      <c r="C16" s="2">
        <v>3.76</v>
      </c>
      <c r="D16" s="2" t="s">
        <v>121</v>
      </c>
      <c r="E16" s="2">
        <f t="shared" si="0"/>
        <v>7.52</v>
      </c>
    </row>
    <row r="17" spans="1:5" x14ac:dyDescent="0.25">
      <c r="A17" s="1" t="s">
        <v>17</v>
      </c>
      <c r="B17" s="2">
        <v>0</v>
      </c>
      <c r="C17" s="2">
        <v>1.17</v>
      </c>
      <c r="D17" s="2" t="s">
        <v>121</v>
      </c>
      <c r="E17" s="2">
        <f t="shared" si="0"/>
        <v>0</v>
      </c>
    </row>
    <row r="18" spans="1:5" x14ac:dyDescent="0.25">
      <c r="A18" s="1" t="s">
        <v>18</v>
      </c>
      <c r="B18" s="2">
        <v>150</v>
      </c>
      <c r="C18" s="2">
        <v>1.23</v>
      </c>
      <c r="D18" s="2" t="s">
        <v>121</v>
      </c>
      <c r="E18" s="2">
        <f t="shared" si="0"/>
        <v>1.845</v>
      </c>
    </row>
    <row r="19" spans="1:5" x14ac:dyDescent="0.25">
      <c r="A19" s="1" t="s">
        <v>19</v>
      </c>
      <c r="B19" s="2">
        <v>200</v>
      </c>
      <c r="C19" s="2">
        <v>1.29</v>
      </c>
      <c r="D19" s="2" t="s">
        <v>121</v>
      </c>
      <c r="E19" s="2">
        <f t="shared" si="0"/>
        <v>2.58</v>
      </c>
    </row>
    <row r="20" spans="1:5" x14ac:dyDescent="0.25">
      <c r="A20" s="1" t="s">
        <v>20</v>
      </c>
      <c r="B20" s="2">
        <v>150</v>
      </c>
      <c r="C20" s="2">
        <v>1.53</v>
      </c>
      <c r="D20" s="2" t="s">
        <v>121</v>
      </c>
      <c r="E20" s="2">
        <f t="shared" si="0"/>
        <v>2.2949999999999999</v>
      </c>
    </row>
    <row r="21" spans="1:5" x14ac:dyDescent="0.25">
      <c r="A21" s="1" t="s">
        <v>21</v>
      </c>
      <c r="B21" s="2">
        <v>150</v>
      </c>
      <c r="C21" s="2">
        <v>1.74</v>
      </c>
      <c r="D21" s="2" t="s">
        <v>121</v>
      </c>
      <c r="E21" s="2">
        <f t="shared" si="0"/>
        <v>2.61</v>
      </c>
    </row>
    <row r="22" spans="1:5" x14ac:dyDescent="0.25">
      <c r="A22" s="1" t="s">
        <v>22</v>
      </c>
      <c r="B22" s="2">
        <v>75</v>
      </c>
      <c r="C22" s="2">
        <v>1.74</v>
      </c>
      <c r="D22" s="2" t="s">
        <v>121</v>
      </c>
      <c r="E22" s="2">
        <f t="shared" si="0"/>
        <v>1.3049999999999999</v>
      </c>
    </row>
    <row r="23" spans="1:5" x14ac:dyDescent="0.25">
      <c r="A23" s="1" t="s">
        <v>23</v>
      </c>
      <c r="B23" s="2">
        <v>20</v>
      </c>
      <c r="C23" s="2">
        <v>2.4500000000000002</v>
      </c>
      <c r="D23" s="2" t="s">
        <v>121</v>
      </c>
      <c r="E23" s="2">
        <f t="shared" si="0"/>
        <v>0.49</v>
      </c>
    </row>
    <row r="24" spans="1:5" x14ac:dyDescent="0.25">
      <c r="A24" s="1" t="s">
        <v>24</v>
      </c>
      <c r="B24" s="2">
        <v>100</v>
      </c>
      <c r="C24" s="2">
        <v>4.66</v>
      </c>
      <c r="D24" s="2" t="s">
        <v>121</v>
      </c>
      <c r="E24" s="2">
        <f t="shared" si="0"/>
        <v>4.66</v>
      </c>
    </row>
    <row r="25" spans="1:5" x14ac:dyDescent="0.25">
      <c r="A25" s="1" t="s">
        <v>26</v>
      </c>
      <c r="B25" s="2">
        <v>50</v>
      </c>
      <c r="C25" s="2">
        <v>2.12</v>
      </c>
      <c r="D25" s="2" t="s">
        <v>121</v>
      </c>
      <c r="E25" s="2">
        <f t="shared" si="0"/>
        <v>1.06</v>
      </c>
    </row>
    <row r="26" spans="1:5" x14ac:dyDescent="0.25">
      <c r="A26" s="1" t="s">
        <v>27</v>
      </c>
      <c r="B26" s="2">
        <v>125</v>
      </c>
      <c r="C26" s="2">
        <v>2.12</v>
      </c>
      <c r="D26" s="2" t="s">
        <v>121</v>
      </c>
      <c r="E26" s="2">
        <f t="shared" si="0"/>
        <v>2.65</v>
      </c>
    </row>
    <row r="27" spans="1:5" x14ac:dyDescent="0.25">
      <c r="A27" s="1" t="s">
        <v>28</v>
      </c>
      <c r="B27" s="2">
        <v>150</v>
      </c>
      <c r="C27" s="2">
        <v>2.12</v>
      </c>
      <c r="D27" s="2" t="s">
        <v>121</v>
      </c>
      <c r="E27" s="2">
        <f t="shared" si="0"/>
        <v>3.18</v>
      </c>
    </row>
    <row r="28" spans="1:5" x14ac:dyDescent="0.25">
      <c r="A28" s="1" t="s">
        <v>29</v>
      </c>
      <c r="B28" s="2">
        <v>100</v>
      </c>
      <c r="C28" s="2">
        <v>2.19</v>
      </c>
      <c r="D28" s="2" t="s">
        <v>121</v>
      </c>
      <c r="E28" s="2">
        <f t="shared" si="0"/>
        <v>2.19</v>
      </c>
    </row>
    <row r="29" spans="1:5" x14ac:dyDescent="0.25">
      <c r="A29" s="1" t="s">
        <v>30</v>
      </c>
      <c r="B29" s="2">
        <v>100</v>
      </c>
      <c r="C29" s="2">
        <v>2.2599999999999998</v>
      </c>
      <c r="D29" s="2" t="s">
        <v>121</v>
      </c>
      <c r="E29" s="2">
        <f t="shared" si="0"/>
        <v>2.2599999999999998</v>
      </c>
    </row>
    <row r="30" spans="1:5" x14ac:dyDescent="0.25">
      <c r="A30" s="1" t="s">
        <v>31</v>
      </c>
      <c r="B30" s="2">
        <v>50</v>
      </c>
      <c r="C30" s="2">
        <v>3.03</v>
      </c>
      <c r="D30" s="2" t="s">
        <v>121</v>
      </c>
      <c r="E30" s="2">
        <f t="shared" si="0"/>
        <v>1.5149999999999999</v>
      </c>
    </row>
    <row r="31" spans="1:5" x14ac:dyDescent="0.25">
      <c r="A31" s="1" t="s">
        <v>32</v>
      </c>
      <c r="B31" s="2">
        <v>100</v>
      </c>
      <c r="C31" s="2">
        <v>3.15</v>
      </c>
      <c r="D31" s="2" t="s">
        <v>121</v>
      </c>
      <c r="E31" s="2">
        <f t="shared" si="0"/>
        <v>3.15</v>
      </c>
    </row>
    <row r="32" spans="1:5" x14ac:dyDescent="0.25">
      <c r="A32" s="1" t="s">
        <v>33</v>
      </c>
      <c r="B32" s="2">
        <v>100</v>
      </c>
      <c r="C32" s="2">
        <v>3.7240000000000002</v>
      </c>
      <c r="D32" s="2" t="s">
        <v>121</v>
      </c>
      <c r="E32" s="2">
        <f t="shared" si="0"/>
        <v>3.7240000000000002</v>
      </c>
    </row>
    <row r="33" spans="1:5" x14ac:dyDescent="0.25">
      <c r="A33" s="1" t="s">
        <v>34</v>
      </c>
      <c r="B33" s="2">
        <v>100</v>
      </c>
      <c r="C33" s="2">
        <v>3.92</v>
      </c>
      <c r="D33" s="2" t="s">
        <v>121</v>
      </c>
      <c r="E33" s="2">
        <f t="shared" si="0"/>
        <v>3.92</v>
      </c>
    </row>
    <row r="34" spans="1:5" x14ac:dyDescent="0.25">
      <c r="A34" s="1" t="s">
        <v>35</v>
      </c>
      <c r="B34" s="2">
        <v>75</v>
      </c>
      <c r="C34" s="2">
        <v>4.2699999999999996</v>
      </c>
      <c r="D34" s="2" t="s">
        <v>121</v>
      </c>
      <c r="E34" s="2">
        <f t="shared" si="0"/>
        <v>3.2024999999999992</v>
      </c>
    </row>
    <row r="35" spans="1:5" x14ac:dyDescent="0.25">
      <c r="A35" s="1" t="s">
        <v>36</v>
      </c>
      <c r="B35" s="2">
        <v>0</v>
      </c>
      <c r="C35" s="2">
        <v>5.46</v>
      </c>
      <c r="D35" s="2" t="s">
        <v>121</v>
      </c>
      <c r="E35" s="2">
        <f t="shared" si="0"/>
        <v>0</v>
      </c>
    </row>
    <row r="36" spans="1:5" x14ac:dyDescent="0.25">
      <c r="A36" s="1" t="s">
        <v>118</v>
      </c>
      <c r="B36" s="2">
        <v>50</v>
      </c>
      <c r="C36" s="2">
        <v>5.66</v>
      </c>
      <c r="D36" s="2" t="s">
        <v>121</v>
      </c>
      <c r="E36" s="2">
        <f t="shared" si="0"/>
        <v>2.83</v>
      </c>
    </row>
    <row r="37" spans="1:5" x14ac:dyDescent="0.25">
      <c r="A37" s="1" t="s">
        <v>37</v>
      </c>
      <c r="B37" s="2">
        <v>200</v>
      </c>
      <c r="C37" s="2">
        <v>8.41</v>
      </c>
      <c r="D37" s="2" t="s">
        <v>121</v>
      </c>
      <c r="E37" s="2">
        <f t="shared" si="0"/>
        <v>16.82</v>
      </c>
    </row>
    <row r="38" spans="1:5" x14ac:dyDescent="0.25">
      <c r="A38" s="1" t="s">
        <v>38</v>
      </c>
      <c r="B38" s="2">
        <v>0</v>
      </c>
      <c r="C38" s="2">
        <v>11.94</v>
      </c>
      <c r="D38" s="2" t="s">
        <v>121</v>
      </c>
      <c r="E38" s="2">
        <f t="shared" si="0"/>
        <v>0</v>
      </c>
    </row>
    <row r="39" spans="1:5" x14ac:dyDescent="0.25">
      <c r="A39" s="1" t="s">
        <v>39</v>
      </c>
      <c r="B39" s="2">
        <v>50</v>
      </c>
      <c r="C39" s="2">
        <v>11.875</v>
      </c>
      <c r="D39" s="2" t="s">
        <v>121</v>
      </c>
      <c r="E39" s="2">
        <f t="shared" si="0"/>
        <v>5.9375</v>
      </c>
    </row>
    <row r="40" spans="1:5" x14ac:dyDescent="0.25">
      <c r="A40" s="1" t="s">
        <v>133</v>
      </c>
      <c r="B40" s="2">
        <v>20</v>
      </c>
      <c r="C40" s="2">
        <v>21.71</v>
      </c>
      <c r="D40" s="2" t="s">
        <v>121</v>
      </c>
      <c r="E40" s="2">
        <f t="shared" si="0"/>
        <v>4.3420000000000005</v>
      </c>
    </row>
    <row r="41" spans="1:5" x14ac:dyDescent="0.25">
      <c r="A41" s="1" t="s">
        <v>119</v>
      </c>
      <c r="B41" s="2">
        <v>0</v>
      </c>
      <c r="C41" s="2">
        <v>35.24</v>
      </c>
      <c r="D41" s="2" t="s">
        <v>121</v>
      </c>
      <c r="E41" s="2">
        <f>B41*C41/100</f>
        <v>0</v>
      </c>
    </row>
    <row r="42" spans="1:5" x14ac:dyDescent="0.25">
      <c r="A42" s="1" t="s">
        <v>44</v>
      </c>
      <c r="B42" s="2">
        <v>0</v>
      </c>
      <c r="C42" s="2">
        <v>35.24</v>
      </c>
      <c r="D42" s="2" t="s">
        <v>121</v>
      </c>
      <c r="E42" s="2">
        <f>B42*C42/100</f>
        <v>0</v>
      </c>
    </row>
    <row r="43" spans="1:5" x14ac:dyDescent="0.25">
      <c r="A43" s="1" t="s">
        <v>120</v>
      </c>
      <c r="B43" s="2">
        <v>110</v>
      </c>
      <c r="C43" s="2">
        <v>13.15</v>
      </c>
      <c r="D43" s="2" t="s">
        <v>121</v>
      </c>
      <c r="E43" s="2">
        <f>B43*C43/100</f>
        <v>14.465</v>
      </c>
    </row>
    <row r="44" spans="1:5" x14ac:dyDescent="0.25">
      <c r="A44" s="1" t="s">
        <v>122</v>
      </c>
      <c r="B44" s="2">
        <v>100</v>
      </c>
      <c r="C44" s="2">
        <v>15.56</v>
      </c>
      <c r="D44" s="2" t="s">
        <v>121</v>
      </c>
      <c r="E44" s="2">
        <f t="shared" ref="E44:E46" si="1">B44*C44/100</f>
        <v>15.56</v>
      </c>
    </row>
    <row r="45" spans="1:5" x14ac:dyDescent="0.25">
      <c r="A45" s="1" t="s">
        <v>123</v>
      </c>
      <c r="B45" s="2">
        <v>80</v>
      </c>
      <c r="C45" s="2">
        <v>28.44</v>
      </c>
      <c r="D45" s="2" t="s">
        <v>121</v>
      </c>
      <c r="E45" s="2">
        <f t="shared" si="1"/>
        <v>22.752000000000002</v>
      </c>
    </row>
    <row r="46" spans="1:5" x14ac:dyDescent="0.25">
      <c r="A46" s="1" t="s">
        <v>124</v>
      </c>
      <c r="B46" s="2">
        <v>50</v>
      </c>
      <c r="C46" s="2">
        <v>10.54</v>
      </c>
      <c r="D46" s="2" t="s">
        <v>121</v>
      </c>
      <c r="E46" s="2">
        <f t="shared" si="1"/>
        <v>5.27</v>
      </c>
    </row>
    <row r="47" spans="1:5" x14ac:dyDescent="0.25">
      <c r="A47" s="1" t="s">
        <v>125</v>
      </c>
      <c r="B47" s="2">
        <v>0</v>
      </c>
      <c r="C47" s="2">
        <v>0.67</v>
      </c>
      <c r="D47" s="2" t="s">
        <v>81</v>
      </c>
      <c r="E47" s="2">
        <f>B47*C47</f>
        <v>0</v>
      </c>
    </row>
    <row r="48" spans="1:5" x14ac:dyDescent="0.25">
      <c r="A48" s="1" t="s">
        <v>135</v>
      </c>
      <c r="B48" s="2">
        <v>50</v>
      </c>
      <c r="C48" s="2"/>
      <c r="D48" s="2" t="s">
        <v>121</v>
      </c>
      <c r="E48" s="2">
        <f>B48*C48/100</f>
        <v>0</v>
      </c>
    </row>
    <row r="49" spans="1:5" x14ac:dyDescent="0.25">
      <c r="A49" s="1" t="s">
        <v>47</v>
      </c>
      <c r="B49" s="2">
        <v>150</v>
      </c>
      <c r="C49" s="2">
        <v>2.1</v>
      </c>
      <c r="D49" s="2" t="s">
        <v>121</v>
      </c>
      <c r="E49" s="2">
        <f>B49*C49/100</f>
        <v>3.15</v>
      </c>
    </row>
    <row r="50" spans="1:5" x14ac:dyDescent="0.25">
      <c r="A50" s="1" t="s">
        <v>40</v>
      </c>
      <c r="B50" s="2">
        <v>5</v>
      </c>
      <c r="C50" s="2">
        <v>5.056</v>
      </c>
      <c r="D50" s="2" t="s">
        <v>83</v>
      </c>
      <c r="E50" s="2">
        <v>25.28</v>
      </c>
    </row>
    <row r="51" spans="1:5" x14ac:dyDescent="0.25">
      <c r="A51" s="1" t="s">
        <v>41</v>
      </c>
      <c r="B51" s="2">
        <v>0</v>
      </c>
      <c r="C51" s="2">
        <v>1.6739999999999999</v>
      </c>
      <c r="D51" s="2" t="s">
        <v>83</v>
      </c>
      <c r="E51" s="2">
        <v>1.6739999999999999</v>
      </c>
    </row>
    <row r="52" spans="1:5" x14ac:dyDescent="0.25">
      <c r="A52" s="1" t="s">
        <v>42</v>
      </c>
      <c r="B52" s="2">
        <v>100</v>
      </c>
      <c r="C52" s="2">
        <v>0.1764</v>
      </c>
      <c r="D52" s="2" t="s">
        <v>81</v>
      </c>
      <c r="E52" s="2">
        <f>B52*C52</f>
        <v>17.64</v>
      </c>
    </row>
    <row r="53" spans="1:5" x14ac:dyDescent="0.25">
      <c r="A53" s="1" t="s">
        <v>143</v>
      </c>
      <c r="B53" s="2">
        <v>50</v>
      </c>
      <c r="C53" s="2">
        <v>0.19620000000000001</v>
      </c>
      <c r="D53" s="2" t="s">
        <v>81</v>
      </c>
      <c r="E53" s="2">
        <f>B53*C53</f>
        <v>9.81</v>
      </c>
    </row>
    <row r="54" spans="1:5" x14ac:dyDescent="0.25">
      <c r="A54" s="1" t="s">
        <v>43</v>
      </c>
      <c r="B54" s="2">
        <v>5</v>
      </c>
      <c r="C54" s="2">
        <v>0.30580000000000002</v>
      </c>
      <c r="D54" s="2" t="s">
        <v>81</v>
      </c>
      <c r="E54" s="2">
        <f>B54*C54</f>
        <v>1.5290000000000001</v>
      </c>
    </row>
    <row r="55" spans="1:5" x14ac:dyDescent="0.25">
      <c r="A55" s="1" t="s">
        <v>46</v>
      </c>
      <c r="B55" s="2">
        <v>0</v>
      </c>
      <c r="C55" s="2">
        <v>204.36</v>
      </c>
      <c r="D55" s="2" t="s">
        <v>121</v>
      </c>
      <c r="E55" s="2">
        <f>B55*C55/100</f>
        <v>0</v>
      </c>
    </row>
    <row r="56" spans="1:5" x14ac:dyDescent="0.25">
      <c r="A56" s="1" t="s">
        <v>51</v>
      </c>
      <c r="B56" s="2">
        <v>200</v>
      </c>
      <c r="C56" s="2">
        <v>4.0399999999999998E-2</v>
      </c>
      <c r="D56" s="2" t="s">
        <v>121</v>
      </c>
      <c r="E56" s="2">
        <f>B56*C56</f>
        <v>8.08</v>
      </c>
    </row>
    <row r="57" spans="1:5" x14ac:dyDescent="0.25">
      <c r="A57" s="1" t="s">
        <v>50</v>
      </c>
      <c r="B57" s="2">
        <v>200</v>
      </c>
      <c r="C57" s="2">
        <v>4.6900000000000004</v>
      </c>
      <c r="D57" s="2" t="s">
        <v>121</v>
      </c>
      <c r="E57" s="2">
        <f>B57*C57/100</f>
        <v>9.3800000000000008</v>
      </c>
    </row>
    <row r="58" spans="1:5" x14ac:dyDescent="0.25">
      <c r="A58" s="1" t="s">
        <v>140</v>
      </c>
      <c r="B58" s="2">
        <v>150</v>
      </c>
      <c r="C58" s="2">
        <v>7.44</v>
      </c>
      <c r="D58" s="2" t="s">
        <v>121</v>
      </c>
      <c r="E58" s="2">
        <f>B58*C58/100</f>
        <v>11.16</v>
      </c>
    </row>
    <row r="59" spans="1:5" x14ac:dyDescent="0.25">
      <c r="A59" s="1" t="s">
        <v>48</v>
      </c>
      <c r="B59" s="2">
        <v>50</v>
      </c>
      <c r="C59" s="2">
        <v>0.14000000000000001</v>
      </c>
      <c r="D59" s="2" t="s">
        <v>81</v>
      </c>
      <c r="E59" s="2">
        <f>B59*C59</f>
        <v>7.0000000000000009</v>
      </c>
    </row>
    <row r="60" spans="1:5" x14ac:dyDescent="0.25">
      <c r="A60" s="1" t="s">
        <v>49</v>
      </c>
      <c r="B60" s="2">
        <v>100</v>
      </c>
      <c r="C60" s="2">
        <v>3.1E-2</v>
      </c>
      <c r="D60" s="2" t="s">
        <v>81</v>
      </c>
      <c r="E60" s="2">
        <f>B60*C60</f>
        <v>3.1</v>
      </c>
    </row>
    <row r="61" spans="1:5" x14ac:dyDescent="0.25">
      <c r="A61" s="1" t="s">
        <v>239</v>
      </c>
      <c r="B61" s="2">
        <v>0</v>
      </c>
      <c r="C61" s="2">
        <v>0.38</v>
      </c>
      <c r="D61" s="2" t="s">
        <v>81</v>
      </c>
      <c r="E61" s="2">
        <f>B61*C61</f>
        <v>0</v>
      </c>
    </row>
    <row r="62" spans="1:5" x14ac:dyDescent="0.25">
      <c r="A62" s="1" t="s">
        <v>53</v>
      </c>
      <c r="B62" s="2">
        <v>20</v>
      </c>
      <c r="C62" s="2">
        <v>1.4</v>
      </c>
      <c r="D62" s="2" t="s">
        <v>84</v>
      </c>
      <c r="E62" s="2">
        <f>B62*C62</f>
        <v>28</v>
      </c>
    </row>
    <row r="63" spans="1:5" x14ac:dyDescent="0.25">
      <c r="A63" s="1"/>
      <c r="B63" s="1"/>
      <c r="C63" s="1"/>
      <c r="D63" s="1"/>
      <c r="E63" s="1">
        <f>SUM(E3:E62)</f>
        <v>282.048</v>
      </c>
    </row>
    <row r="69" spans="1:5" ht="26.25" x14ac:dyDescent="0.25">
      <c r="A69" s="29" t="s">
        <v>54</v>
      </c>
      <c r="B69" s="30"/>
      <c r="C69" s="30"/>
      <c r="D69" s="30"/>
      <c r="E69" s="31"/>
    </row>
    <row r="70" spans="1:5" x14ac:dyDescent="0.25">
      <c r="A70" s="2" t="s">
        <v>0</v>
      </c>
      <c r="B70" s="2" t="s">
        <v>3</v>
      </c>
      <c r="C70" s="2" t="s">
        <v>56</v>
      </c>
      <c r="D70" s="2" t="s">
        <v>81</v>
      </c>
      <c r="E70" s="2" t="s">
        <v>1</v>
      </c>
    </row>
    <row r="71" spans="1:5" x14ac:dyDescent="0.25">
      <c r="A71" s="1" t="s">
        <v>286</v>
      </c>
      <c r="B71" s="2">
        <v>5</v>
      </c>
      <c r="C71" s="2">
        <v>2.92</v>
      </c>
      <c r="D71" s="2" t="s">
        <v>82</v>
      </c>
      <c r="E71" s="2">
        <f>B71*C71</f>
        <v>14.6</v>
      </c>
    </row>
    <row r="72" spans="1:5" x14ac:dyDescent="0.25">
      <c r="A72" s="1" t="s">
        <v>102</v>
      </c>
      <c r="B72" s="2">
        <v>10</v>
      </c>
      <c r="C72" s="2">
        <v>2.92</v>
      </c>
      <c r="D72" s="2" t="s">
        <v>82</v>
      </c>
      <c r="E72" s="2">
        <f>B72*C72</f>
        <v>29.2</v>
      </c>
    </row>
    <row r="73" spans="1:5" x14ac:dyDescent="0.25">
      <c r="A73" s="1" t="s">
        <v>103</v>
      </c>
      <c r="B73" s="2">
        <v>12</v>
      </c>
      <c r="C73" s="2">
        <v>2.76</v>
      </c>
      <c r="D73" s="2" t="s">
        <v>82</v>
      </c>
      <c r="E73" s="2">
        <f t="shared" ref="E73:E86" si="2">B73*C73</f>
        <v>33.119999999999997</v>
      </c>
    </row>
    <row r="74" spans="1:5" x14ac:dyDescent="0.25">
      <c r="A74" s="1" t="s">
        <v>104</v>
      </c>
      <c r="B74" s="2">
        <v>9</v>
      </c>
      <c r="C74" s="2">
        <v>2.64</v>
      </c>
      <c r="D74" s="2" t="s">
        <v>82</v>
      </c>
      <c r="E74" s="2">
        <f t="shared" si="2"/>
        <v>23.76</v>
      </c>
    </row>
    <row r="75" spans="1:5" x14ac:dyDescent="0.25">
      <c r="A75" s="1" t="s">
        <v>105</v>
      </c>
      <c r="B75" s="2">
        <v>10</v>
      </c>
      <c r="C75" s="2">
        <v>2.64</v>
      </c>
      <c r="D75" s="2" t="s">
        <v>82</v>
      </c>
      <c r="E75" s="2">
        <f t="shared" si="2"/>
        <v>26.400000000000002</v>
      </c>
    </row>
    <row r="76" spans="1:5" x14ac:dyDescent="0.25">
      <c r="A76" s="1" t="s">
        <v>106</v>
      </c>
      <c r="B76" s="2">
        <v>0</v>
      </c>
      <c r="C76" s="2">
        <v>15</v>
      </c>
      <c r="D76" s="2" t="s">
        <v>82</v>
      </c>
      <c r="E76" s="2">
        <f t="shared" si="2"/>
        <v>0</v>
      </c>
    </row>
    <row r="77" spans="1:5" x14ac:dyDescent="0.25">
      <c r="A77" s="1" t="s">
        <v>107</v>
      </c>
      <c r="B77" s="2">
        <v>0</v>
      </c>
      <c r="C77" s="2">
        <v>15</v>
      </c>
      <c r="D77" s="2" t="s">
        <v>82</v>
      </c>
      <c r="E77" s="2">
        <f t="shared" si="2"/>
        <v>0</v>
      </c>
    </row>
    <row r="78" spans="1:5" x14ac:dyDescent="0.25">
      <c r="A78" s="1" t="s">
        <v>284</v>
      </c>
      <c r="B78" s="2">
        <v>0</v>
      </c>
      <c r="C78" s="2">
        <v>15</v>
      </c>
      <c r="D78" s="2" t="s">
        <v>82</v>
      </c>
      <c r="E78" s="2">
        <f t="shared" si="2"/>
        <v>0</v>
      </c>
    </row>
    <row r="79" spans="1:5" x14ac:dyDescent="0.25">
      <c r="A79" s="1" t="s">
        <v>59</v>
      </c>
      <c r="B79" s="2">
        <v>5</v>
      </c>
      <c r="C79" s="2">
        <v>4</v>
      </c>
      <c r="D79" s="2" t="s">
        <v>82</v>
      </c>
      <c r="E79" s="2">
        <f t="shared" si="2"/>
        <v>20</v>
      </c>
    </row>
    <row r="80" spans="1:5" x14ac:dyDescent="0.25">
      <c r="A80" s="1" t="s">
        <v>60</v>
      </c>
      <c r="B80" s="2">
        <v>0</v>
      </c>
      <c r="C80" s="2">
        <v>4</v>
      </c>
      <c r="D80" s="2" t="s">
        <v>82</v>
      </c>
      <c r="E80" s="2">
        <f t="shared" si="2"/>
        <v>0</v>
      </c>
    </row>
    <row r="81" spans="1:5" x14ac:dyDescent="0.25">
      <c r="A81" s="1" t="s">
        <v>61</v>
      </c>
      <c r="B81" s="2">
        <v>0</v>
      </c>
      <c r="C81" s="2">
        <v>2</v>
      </c>
      <c r="D81" s="2" t="s">
        <v>82</v>
      </c>
      <c r="E81" s="2">
        <f t="shared" si="2"/>
        <v>0</v>
      </c>
    </row>
    <row r="82" spans="1:5" x14ac:dyDescent="0.25">
      <c r="A82" s="1" t="s">
        <v>57</v>
      </c>
      <c r="B82" s="2">
        <v>2</v>
      </c>
      <c r="C82" s="2">
        <v>4.92</v>
      </c>
      <c r="D82" s="2" t="s">
        <v>82</v>
      </c>
      <c r="E82" s="2">
        <f t="shared" si="2"/>
        <v>9.84</v>
      </c>
    </row>
    <row r="83" spans="1:5" x14ac:dyDescent="0.25">
      <c r="A83" s="1" t="s">
        <v>58</v>
      </c>
      <c r="B83" s="2">
        <v>10</v>
      </c>
      <c r="C83" s="2">
        <v>8.5400000000000004E-2</v>
      </c>
      <c r="D83" s="2" t="s">
        <v>82</v>
      </c>
      <c r="E83" s="2">
        <f t="shared" si="2"/>
        <v>0.85400000000000009</v>
      </c>
    </row>
    <row r="84" spans="1:5" x14ac:dyDescent="0.25">
      <c r="A84" s="1" t="s">
        <v>144</v>
      </c>
      <c r="B84" s="2">
        <v>1</v>
      </c>
      <c r="C84" s="2">
        <v>1.9419999999999999</v>
      </c>
      <c r="D84" s="2" t="s">
        <v>85</v>
      </c>
      <c r="E84" s="2">
        <f t="shared" si="2"/>
        <v>1.9419999999999999</v>
      </c>
    </row>
    <row r="85" spans="1:5" x14ac:dyDescent="0.25">
      <c r="A85" s="1" t="s">
        <v>145</v>
      </c>
      <c r="B85" s="2">
        <v>1</v>
      </c>
      <c r="C85" s="2">
        <v>2.92</v>
      </c>
      <c r="D85" s="2" t="s">
        <v>85</v>
      </c>
      <c r="E85" s="2">
        <f t="shared" si="2"/>
        <v>2.92</v>
      </c>
    </row>
    <row r="86" spans="1:5" x14ac:dyDescent="0.25">
      <c r="A86" s="1" t="s">
        <v>146</v>
      </c>
      <c r="B86" s="2">
        <v>5</v>
      </c>
      <c r="C86" s="2">
        <v>3.72</v>
      </c>
      <c r="D86" s="2" t="s">
        <v>85</v>
      </c>
      <c r="E86" s="2">
        <f t="shared" si="2"/>
        <v>18.600000000000001</v>
      </c>
    </row>
    <row r="87" spans="1:5" x14ac:dyDescent="0.25">
      <c r="A87" s="5" t="s">
        <v>75</v>
      </c>
      <c r="B87" s="10">
        <v>900</v>
      </c>
      <c r="C87" s="6">
        <v>46.48</v>
      </c>
      <c r="D87" s="6" t="s">
        <v>152</v>
      </c>
      <c r="E87" s="6">
        <f>B87*C87/1000</f>
        <v>41.832000000000001</v>
      </c>
    </row>
    <row r="88" spans="1:5" x14ac:dyDescent="0.25">
      <c r="A88" s="5" t="s">
        <v>148</v>
      </c>
      <c r="B88" s="2">
        <v>400</v>
      </c>
      <c r="C88" s="2">
        <v>39.700000000000003</v>
      </c>
      <c r="D88" s="6" t="s">
        <v>152</v>
      </c>
      <c r="E88" s="6">
        <f>B88*C88/1000</f>
        <v>15.880000000000003</v>
      </c>
    </row>
    <row r="89" spans="1:5" x14ac:dyDescent="0.25">
      <c r="A89" s="5" t="s">
        <v>149</v>
      </c>
      <c r="B89" s="2">
        <v>500</v>
      </c>
      <c r="C89" s="2">
        <v>37.659999999999997</v>
      </c>
      <c r="D89" s="6" t="s">
        <v>152</v>
      </c>
      <c r="E89" s="6">
        <f t="shared" ref="E89:E91" si="3">B89*C89/1000</f>
        <v>18.829999999999998</v>
      </c>
    </row>
    <row r="90" spans="1:5" x14ac:dyDescent="0.25">
      <c r="A90" s="5" t="s">
        <v>150</v>
      </c>
      <c r="B90" s="2">
        <v>400</v>
      </c>
      <c r="C90" s="2">
        <v>36.56</v>
      </c>
      <c r="D90" s="6" t="s">
        <v>152</v>
      </c>
      <c r="E90" s="6">
        <f t="shared" si="3"/>
        <v>14.624000000000001</v>
      </c>
    </row>
    <row r="91" spans="1:5" x14ac:dyDescent="0.25">
      <c r="A91" s="1" t="s">
        <v>76</v>
      </c>
      <c r="B91" s="2">
        <v>500</v>
      </c>
      <c r="C91" s="2">
        <v>35.46</v>
      </c>
      <c r="D91" s="6" t="s">
        <v>152</v>
      </c>
      <c r="E91" s="6">
        <f t="shared" si="3"/>
        <v>17.73</v>
      </c>
    </row>
    <row r="92" spans="1:5" x14ac:dyDescent="0.25">
      <c r="A92" s="1" t="s">
        <v>153</v>
      </c>
      <c r="B92" s="2">
        <v>1</v>
      </c>
      <c r="C92" s="2">
        <v>6.29</v>
      </c>
      <c r="D92" s="2" t="s">
        <v>81</v>
      </c>
      <c r="E92" s="6">
        <f t="shared" ref="E92:E93" si="4">B92*C92</f>
        <v>6.29</v>
      </c>
    </row>
    <row r="93" spans="1:5" x14ac:dyDescent="0.25">
      <c r="A93" s="1" t="s">
        <v>154</v>
      </c>
      <c r="B93" s="2">
        <v>2</v>
      </c>
      <c r="C93" s="2">
        <v>14.79</v>
      </c>
      <c r="D93" s="2" t="s">
        <v>81</v>
      </c>
      <c r="E93" s="6">
        <f t="shared" si="4"/>
        <v>29.58</v>
      </c>
    </row>
    <row r="94" spans="1:5" x14ac:dyDescent="0.25">
      <c r="A94" s="1"/>
      <c r="B94" s="2"/>
      <c r="C94" s="2"/>
      <c r="D94" s="2"/>
      <c r="E94" s="2">
        <f>SUM(E71:E93)</f>
        <v>326.00200000000001</v>
      </c>
    </row>
    <row r="97" spans="1:5" ht="26.25" x14ac:dyDescent="0.25">
      <c r="A97" s="29" t="s">
        <v>55</v>
      </c>
      <c r="B97" s="30"/>
      <c r="C97" s="30"/>
      <c r="D97" s="30"/>
      <c r="E97" s="31"/>
    </row>
    <row r="98" spans="1:5" x14ac:dyDescent="0.25">
      <c r="A98" s="2" t="s">
        <v>0</v>
      </c>
      <c r="B98" s="2" t="s">
        <v>3</v>
      </c>
      <c r="C98" s="2" t="s">
        <v>56</v>
      </c>
      <c r="D98" s="2" t="s">
        <v>81</v>
      </c>
      <c r="E98" s="2" t="s">
        <v>1</v>
      </c>
    </row>
    <row r="99" spans="1:5" x14ac:dyDescent="0.25">
      <c r="A99" s="1" t="s">
        <v>62</v>
      </c>
      <c r="B99" s="2">
        <v>2</v>
      </c>
      <c r="C99" s="2">
        <v>8.76</v>
      </c>
      <c r="D99" s="2" t="s">
        <v>87</v>
      </c>
      <c r="E99" s="2">
        <f t="shared" ref="E99:E106" si="5">B99*C99</f>
        <v>17.52</v>
      </c>
    </row>
    <row r="100" spans="1:5" x14ac:dyDescent="0.25">
      <c r="A100" s="1" t="s">
        <v>285</v>
      </c>
      <c r="B100" s="2">
        <v>2</v>
      </c>
      <c r="C100" s="2">
        <v>4</v>
      </c>
      <c r="D100" s="2" t="s">
        <v>87</v>
      </c>
      <c r="E100" s="2">
        <f t="shared" si="5"/>
        <v>8</v>
      </c>
    </row>
    <row r="101" spans="1:5" x14ac:dyDescent="0.25">
      <c r="A101" s="1" t="s">
        <v>64</v>
      </c>
      <c r="B101" s="2">
        <v>2</v>
      </c>
      <c r="C101" s="2">
        <v>3.34</v>
      </c>
      <c r="D101" s="2" t="s">
        <v>87</v>
      </c>
      <c r="E101" s="2">
        <f t="shared" si="5"/>
        <v>6.68</v>
      </c>
    </row>
    <row r="102" spans="1:5" x14ac:dyDescent="0.25">
      <c r="A102" s="1" t="s">
        <v>161</v>
      </c>
      <c r="B102" s="2">
        <v>0</v>
      </c>
      <c r="C102" s="2">
        <v>1.07</v>
      </c>
      <c r="D102" s="2" t="s">
        <v>87</v>
      </c>
      <c r="E102" s="2">
        <f t="shared" si="5"/>
        <v>0</v>
      </c>
    </row>
    <row r="103" spans="1:5" x14ac:dyDescent="0.25">
      <c r="A103" s="1" t="s">
        <v>167</v>
      </c>
      <c r="B103" s="2">
        <v>1</v>
      </c>
      <c r="C103" s="2">
        <v>7.13</v>
      </c>
      <c r="D103" s="2" t="s">
        <v>83</v>
      </c>
      <c r="E103" s="2">
        <f t="shared" si="5"/>
        <v>7.13</v>
      </c>
    </row>
    <row r="104" spans="1:5" x14ac:dyDescent="0.25">
      <c r="A104" s="1" t="s">
        <v>168</v>
      </c>
      <c r="B104" s="2">
        <v>0</v>
      </c>
      <c r="C104" s="2">
        <v>3</v>
      </c>
      <c r="D104" s="2" t="s">
        <v>83</v>
      </c>
      <c r="E104" s="2">
        <f t="shared" si="5"/>
        <v>0</v>
      </c>
    </row>
    <row r="105" spans="1:5" x14ac:dyDescent="0.25">
      <c r="A105" s="1" t="s">
        <v>169</v>
      </c>
      <c r="B105" s="2">
        <v>1</v>
      </c>
      <c r="C105" s="2">
        <v>20.11</v>
      </c>
      <c r="D105" s="2" t="s">
        <v>170</v>
      </c>
      <c r="E105" s="2">
        <f t="shared" si="5"/>
        <v>20.11</v>
      </c>
    </row>
    <row r="106" spans="1:5" x14ac:dyDescent="0.25">
      <c r="A106" s="1" t="s">
        <v>171</v>
      </c>
      <c r="B106" s="2">
        <v>0</v>
      </c>
      <c r="C106" s="2">
        <v>17.3</v>
      </c>
      <c r="D106" s="2" t="s">
        <v>86</v>
      </c>
      <c r="E106" s="2">
        <f t="shared" si="5"/>
        <v>0</v>
      </c>
    </row>
    <row r="107" spans="1:5" x14ac:dyDescent="0.25">
      <c r="A107" s="1"/>
      <c r="B107" s="1"/>
      <c r="C107" s="1"/>
      <c r="D107" s="1"/>
      <c r="E107" s="1">
        <f>SUM(E99:E106)</f>
        <v>59.440000000000005</v>
      </c>
    </row>
    <row r="110" spans="1:5" ht="26.25" x14ac:dyDescent="0.25">
      <c r="A110" s="29" t="s">
        <v>172</v>
      </c>
      <c r="B110" s="30"/>
      <c r="C110" s="30"/>
      <c r="D110" s="30"/>
      <c r="E110" s="31"/>
    </row>
    <row r="111" spans="1:5" x14ac:dyDescent="0.25">
      <c r="A111" s="2" t="s">
        <v>0</v>
      </c>
      <c r="B111" s="2" t="s">
        <v>3</v>
      </c>
      <c r="C111" s="2" t="s">
        <v>56</v>
      </c>
      <c r="D111" s="2" t="s">
        <v>81</v>
      </c>
      <c r="E111" s="2" t="s">
        <v>1</v>
      </c>
    </row>
    <row r="112" spans="1:5" x14ac:dyDescent="0.25">
      <c r="A112" s="1" t="s">
        <v>175</v>
      </c>
      <c r="B112" s="2">
        <v>17.388000000000002</v>
      </c>
      <c r="C112" s="2">
        <v>5.2</v>
      </c>
      <c r="D112" s="2" t="s">
        <v>88</v>
      </c>
      <c r="E112" s="2">
        <f>B112*C112</f>
        <v>90.417600000000007</v>
      </c>
    </row>
    <row r="113" spans="1:5" x14ac:dyDescent="0.25">
      <c r="A113" s="1" t="s">
        <v>176</v>
      </c>
      <c r="B113" s="2">
        <v>0</v>
      </c>
      <c r="C113" s="2">
        <v>5.46</v>
      </c>
      <c r="D113" s="2" t="s">
        <v>88</v>
      </c>
      <c r="E113" s="2">
        <f>B113*C113</f>
        <v>0</v>
      </c>
    </row>
    <row r="114" spans="1:5" x14ac:dyDescent="0.25">
      <c r="A114" s="1" t="s">
        <v>177</v>
      </c>
      <c r="B114" s="2">
        <v>28.98</v>
      </c>
      <c r="C114" s="2">
        <v>5.4</v>
      </c>
      <c r="D114" s="2" t="s">
        <v>88</v>
      </c>
      <c r="E114" s="2">
        <f>B114*C114</f>
        <v>156.49200000000002</v>
      </c>
    </row>
    <row r="115" spans="1:5" x14ac:dyDescent="0.25">
      <c r="A115" s="1"/>
      <c r="B115" s="1"/>
      <c r="C115" s="1"/>
      <c r="D115" s="1"/>
      <c r="E115" s="1">
        <f>SUM(E112:E114)</f>
        <v>246.90960000000001</v>
      </c>
    </row>
    <row r="117" spans="1:5" x14ac:dyDescent="0.25">
      <c r="B117" s="9"/>
    </row>
    <row r="126" spans="1:5" ht="26.25" x14ac:dyDescent="0.25">
      <c r="A126" s="29" t="s">
        <v>110</v>
      </c>
      <c r="B126" s="30"/>
      <c r="C126" s="30"/>
      <c r="D126" s="30"/>
      <c r="E126" s="31"/>
    </row>
    <row r="127" spans="1:5" x14ac:dyDescent="0.25">
      <c r="A127" s="2" t="s">
        <v>0</v>
      </c>
      <c r="B127" s="2" t="s">
        <v>3</v>
      </c>
      <c r="C127" s="2" t="s">
        <v>56</v>
      </c>
      <c r="D127" s="2" t="s">
        <v>81</v>
      </c>
      <c r="E127" s="2" t="s">
        <v>1</v>
      </c>
    </row>
    <row r="128" spans="1:5" x14ac:dyDescent="0.25">
      <c r="A128" s="1" t="s">
        <v>216</v>
      </c>
      <c r="B128" s="2">
        <v>20</v>
      </c>
      <c r="C128" s="2">
        <v>2.2400000000000002</v>
      </c>
      <c r="D128" s="2" t="s">
        <v>81</v>
      </c>
      <c r="E128" s="2">
        <f t="shared" ref="E128:E145" si="6">B128*C128</f>
        <v>44.800000000000004</v>
      </c>
    </row>
    <row r="129" spans="1:5" x14ac:dyDescent="0.25">
      <c r="A129" s="1" t="s">
        <v>224</v>
      </c>
      <c r="B129" s="2">
        <v>40</v>
      </c>
      <c r="C129" s="2">
        <v>0.54</v>
      </c>
      <c r="D129" s="2" t="s">
        <v>81</v>
      </c>
      <c r="E129" s="2">
        <f t="shared" si="6"/>
        <v>21.6</v>
      </c>
    </row>
    <row r="130" spans="1:5" x14ac:dyDescent="0.25">
      <c r="A130" s="1" t="s">
        <v>225</v>
      </c>
      <c r="B130" s="2">
        <v>10</v>
      </c>
      <c r="C130" s="2">
        <v>0.79</v>
      </c>
      <c r="D130" s="2" t="s">
        <v>81</v>
      </c>
      <c r="E130" s="2">
        <f t="shared" si="6"/>
        <v>7.9</v>
      </c>
    </row>
    <row r="131" spans="1:5" x14ac:dyDescent="0.25">
      <c r="A131" s="1" t="s">
        <v>226</v>
      </c>
      <c r="B131" s="2">
        <v>200</v>
      </c>
      <c r="C131" s="2">
        <v>0.38</v>
      </c>
      <c r="D131" s="2" t="s">
        <v>81</v>
      </c>
      <c r="E131" s="2">
        <f t="shared" si="6"/>
        <v>76</v>
      </c>
    </row>
    <row r="132" spans="1:5" x14ac:dyDescent="0.25">
      <c r="A132" s="1" t="s">
        <v>229</v>
      </c>
      <c r="B132" s="2">
        <v>0</v>
      </c>
      <c r="C132" s="2">
        <v>1.66</v>
      </c>
      <c r="D132" s="2" t="s">
        <v>81</v>
      </c>
      <c r="E132" s="2">
        <f t="shared" si="6"/>
        <v>0</v>
      </c>
    </row>
    <row r="133" spans="1:5" x14ac:dyDescent="0.25">
      <c r="A133" s="1" t="s">
        <v>230</v>
      </c>
      <c r="B133" s="2">
        <v>8</v>
      </c>
      <c r="C133" s="2">
        <v>0.78</v>
      </c>
      <c r="D133" s="2" t="s">
        <v>81</v>
      </c>
      <c r="E133" s="2">
        <f t="shared" si="6"/>
        <v>6.24</v>
      </c>
    </row>
    <row r="134" spans="1:5" x14ac:dyDescent="0.25">
      <c r="A134" s="1" t="s">
        <v>231</v>
      </c>
      <c r="B134" s="2">
        <v>6</v>
      </c>
      <c r="C134" s="2">
        <v>31.3</v>
      </c>
      <c r="D134" s="2" t="s">
        <v>81</v>
      </c>
      <c r="E134" s="2">
        <f t="shared" si="6"/>
        <v>187.8</v>
      </c>
    </row>
    <row r="135" spans="1:5" x14ac:dyDescent="0.25">
      <c r="A135" s="1" t="s">
        <v>232</v>
      </c>
      <c r="B135" s="2">
        <v>6</v>
      </c>
      <c r="C135" s="2">
        <v>31.3</v>
      </c>
      <c r="D135" s="2" t="s">
        <v>81</v>
      </c>
      <c r="E135" s="2">
        <f t="shared" si="6"/>
        <v>187.8</v>
      </c>
    </row>
    <row r="136" spans="1:5" x14ac:dyDescent="0.25">
      <c r="A136" s="1" t="s">
        <v>237</v>
      </c>
      <c r="B136" s="2">
        <v>150</v>
      </c>
      <c r="C136" s="2">
        <v>0.66249999999999998</v>
      </c>
      <c r="D136" s="2" t="s">
        <v>81</v>
      </c>
      <c r="E136" s="2">
        <f t="shared" si="6"/>
        <v>99.375</v>
      </c>
    </row>
    <row r="137" spans="1:5" x14ac:dyDescent="0.25">
      <c r="A137" s="1" t="s">
        <v>238</v>
      </c>
      <c r="B137" s="2">
        <v>100</v>
      </c>
      <c r="C137" s="2">
        <v>1.08</v>
      </c>
      <c r="D137" s="2" t="s">
        <v>81</v>
      </c>
      <c r="E137" s="2">
        <f t="shared" si="6"/>
        <v>108</v>
      </c>
    </row>
    <row r="138" spans="1:5" x14ac:dyDescent="0.25">
      <c r="A138" s="1" t="s">
        <v>247</v>
      </c>
      <c r="B138" s="2">
        <v>13</v>
      </c>
      <c r="C138" s="2">
        <v>1.83</v>
      </c>
      <c r="D138" s="2" t="s">
        <v>81</v>
      </c>
      <c r="E138" s="2">
        <f t="shared" si="6"/>
        <v>23.79</v>
      </c>
    </row>
    <row r="139" spans="1:5" x14ac:dyDescent="0.25">
      <c r="A139" s="1" t="s">
        <v>248</v>
      </c>
      <c r="B139" s="2">
        <v>10</v>
      </c>
      <c r="C139" s="2">
        <v>0.7</v>
      </c>
      <c r="D139" s="2" t="s">
        <v>81</v>
      </c>
      <c r="E139" s="2">
        <f t="shared" si="6"/>
        <v>7</v>
      </c>
    </row>
    <row r="140" spans="1:5" x14ac:dyDescent="0.25">
      <c r="A140" s="1" t="s">
        <v>249</v>
      </c>
      <c r="B140" s="2">
        <v>40</v>
      </c>
      <c r="C140" s="2">
        <v>0.8</v>
      </c>
      <c r="D140" s="2" t="s">
        <v>81</v>
      </c>
      <c r="E140" s="2">
        <f t="shared" si="6"/>
        <v>32</v>
      </c>
    </row>
    <row r="141" spans="1:5" x14ac:dyDescent="0.25">
      <c r="A141" s="1" t="s">
        <v>253</v>
      </c>
      <c r="B141" s="2">
        <v>25</v>
      </c>
      <c r="C141" s="2">
        <v>3.37</v>
      </c>
      <c r="D141" s="2" t="s">
        <v>81</v>
      </c>
      <c r="E141" s="2">
        <f t="shared" si="6"/>
        <v>84.25</v>
      </c>
    </row>
    <row r="142" spans="1:5" x14ac:dyDescent="0.25">
      <c r="A142" s="1" t="s">
        <v>254</v>
      </c>
      <c r="B142" s="2">
        <v>15</v>
      </c>
      <c r="C142" s="2">
        <v>3.45</v>
      </c>
      <c r="D142" s="2" t="s">
        <v>81</v>
      </c>
      <c r="E142" s="2">
        <f t="shared" si="6"/>
        <v>51.75</v>
      </c>
    </row>
    <row r="143" spans="1:5" x14ac:dyDescent="0.25">
      <c r="A143" s="1" t="s">
        <v>255</v>
      </c>
      <c r="B143" s="2">
        <v>12</v>
      </c>
      <c r="C143" s="2">
        <v>3.97</v>
      </c>
      <c r="D143" s="2" t="s">
        <v>81</v>
      </c>
      <c r="E143" s="2">
        <f t="shared" si="6"/>
        <v>47.64</v>
      </c>
    </row>
    <row r="144" spans="1:5" x14ac:dyDescent="0.25">
      <c r="A144" s="1" t="s">
        <v>280</v>
      </c>
      <c r="B144" s="2">
        <v>1</v>
      </c>
      <c r="C144" s="2">
        <v>6.81</v>
      </c>
      <c r="D144" s="2" t="s">
        <v>81</v>
      </c>
      <c r="E144" s="2">
        <f t="shared" si="6"/>
        <v>6.81</v>
      </c>
    </row>
    <row r="145" spans="1:5" x14ac:dyDescent="0.25">
      <c r="A145" s="1" t="s">
        <v>252</v>
      </c>
      <c r="B145" s="2">
        <v>25</v>
      </c>
      <c r="C145" s="2">
        <v>0.32</v>
      </c>
      <c r="D145" s="2" t="s">
        <v>81</v>
      </c>
      <c r="E145" s="2">
        <f t="shared" si="6"/>
        <v>8</v>
      </c>
    </row>
    <row r="146" spans="1:5" x14ac:dyDescent="0.25">
      <c r="A146" s="1"/>
      <c r="B146" s="1"/>
      <c r="C146" s="1"/>
      <c r="D146" s="1"/>
      <c r="E146" s="1">
        <f>SUM(E128:E145)</f>
        <v>1000.755</v>
      </c>
    </row>
    <row r="149" spans="1:5" x14ac:dyDescent="0.25">
      <c r="D149" s="1" t="s">
        <v>109</v>
      </c>
      <c r="E149" s="1">
        <f>SUM(E63+E94+E107+E115+E146)</f>
        <v>1915.1545999999998</v>
      </c>
    </row>
  </sheetData>
  <mergeCells count="5">
    <mergeCell ref="A1:E1"/>
    <mergeCell ref="A69:E69"/>
    <mergeCell ref="A97:E97"/>
    <mergeCell ref="A110:E110"/>
    <mergeCell ref="A126:E126"/>
  </mergeCells>
  <phoneticPr fontId="2" type="noConversion"/>
  <pageMargins left="0.7" right="0.7" top="0.75" bottom="0.75" header="0.3" footer="0.3"/>
  <pageSetup paperSize="9" orientation="landscape" horizontalDpi="0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311C05-4FFB-443B-8547-5AEE3781B4EF}">
  <dimension ref="A1:F143"/>
  <sheetViews>
    <sheetView topLeftCell="A31" workbookViewId="0">
      <selection activeCell="H141" sqref="H141"/>
    </sheetView>
  </sheetViews>
  <sheetFormatPr baseColWidth="10" defaultRowHeight="15" x14ac:dyDescent="0.25"/>
  <cols>
    <col min="1" max="1" width="45.5703125" customWidth="1"/>
    <col min="3" max="3" width="11.28515625" bestFit="1" customWidth="1"/>
  </cols>
  <sheetData>
    <row r="1" spans="1:6" ht="40.5" customHeight="1" x14ac:dyDescent="0.4">
      <c r="A1" s="29" t="s">
        <v>25</v>
      </c>
      <c r="B1" s="30"/>
      <c r="C1" s="30"/>
      <c r="D1" s="30"/>
      <c r="E1" s="31"/>
      <c r="F1" s="3"/>
    </row>
    <row r="2" spans="1:6" ht="17.25" customHeight="1" x14ac:dyDescent="0.25">
      <c r="A2" s="2" t="s">
        <v>0</v>
      </c>
      <c r="B2" s="2" t="s">
        <v>3</v>
      </c>
      <c r="C2" s="2" t="s">
        <v>56</v>
      </c>
      <c r="D2" s="2" t="s">
        <v>81</v>
      </c>
      <c r="E2" s="2" t="s">
        <v>1</v>
      </c>
    </row>
    <row r="3" spans="1:6" x14ac:dyDescent="0.25">
      <c r="A3" s="1" t="s">
        <v>2</v>
      </c>
      <c r="B3" s="2">
        <v>20</v>
      </c>
      <c r="C3" s="2">
        <v>0.99</v>
      </c>
      <c r="D3" s="2" t="s">
        <v>121</v>
      </c>
      <c r="E3" s="2">
        <f t="shared" ref="E3:E40" si="0">B3*C3/100</f>
        <v>0.19800000000000001</v>
      </c>
    </row>
    <row r="4" spans="1:6" x14ac:dyDescent="0.25">
      <c r="A4" s="1" t="s">
        <v>4</v>
      </c>
      <c r="B4" s="2">
        <v>50</v>
      </c>
      <c r="C4" s="2">
        <v>1.05</v>
      </c>
      <c r="D4" s="2" t="s">
        <v>121</v>
      </c>
      <c r="E4" s="2">
        <f t="shared" si="0"/>
        <v>0.52500000000000002</v>
      </c>
    </row>
    <row r="5" spans="1:6" x14ac:dyDescent="0.25">
      <c r="A5" s="1" t="s">
        <v>5</v>
      </c>
      <c r="B5" s="2">
        <v>25</v>
      </c>
      <c r="C5" s="2">
        <v>1.05</v>
      </c>
      <c r="D5" s="2" t="s">
        <v>121</v>
      </c>
      <c r="E5" s="2">
        <f t="shared" si="0"/>
        <v>0.26250000000000001</v>
      </c>
    </row>
    <row r="6" spans="1:6" x14ac:dyDescent="0.25">
      <c r="A6" s="1" t="s">
        <v>6</v>
      </c>
      <c r="B6" s="2">
        <v>50</v>
      </c>
      <c r="C6" s="2">
        <v>1.17</v>
      </c>
      <c r="D6" s="2" t="s">
        <v>121</v>
      </c>
      <c r="E6" s="2">
        <f t="shared" si="0"/>
        <v>0.58499999999999996</v>
      </c>
    </row>
    <row r="7" spans="1:6" x14ac:dyDescent="0.25">
      <c r="A7" s="1" t="s">
        <v>7</v>
      </c>
      <c r="B7" s="2">
        <v>75</v>
      </c>
      <c r="C7" s="2">
        <v>1.23</v>
      </c>
      <c r="D7" s="2" t="s">
        <v>121</v>
      </c>
      <c r="E7" s="2">
        <f t="shared" si="0"/>
        <v>0.92249999999999999</v>
      </c>
    </row>
    <row r="8" spans="1:6" x14ac:dyDescent="0.25">
      <c r="A8" s="1" t="s">
        <v>8</v>
      </c>
      <c r="B8" s="2">
        <v>75</v>
      </c>
      <c r="C8" s="2">
        <v>1.35</v>
      </c>
      <c r="D8" s="2" t="s">
        <v>121</v>
      </c>
      <c r="E8" s="2">
        <f t="shared" si="0"/>
        <v>1.0125</v>
      </c>
    </row>
    <row r="9" spans="1:6" x14ac:dyDescent="0.25">
      <c r="A9" s="1" t="s">
        <v>9</v>
      </c>
      <c r="B9" s="2">
        <v>50</v>
      </c>
      <c r="C9" s="2">
        <v>1.81</v>
      </c>
      <c r="D9" s="2" t="s">
        <v>121</v>
      </c>
      <c r="E9" s="2">
        <f t="shared" si="0"/>
        <v>0.90500000000000003</v>
      </c>
    </row>
    <row r="10" spans="1:6" x14ac:dyDescent="0.25">
      <c r="A10" s="1" t="s">
        <v>10</v>
      </c>
      <c r="B10" s="2">
        <v>50</v>
      </c>
      <c r="C10" s="2">
        <v>1.05</v>
      </c>
      <c r="D10" s="2" t="s">
        <v>121</v>
      </c>
      <c r="E10" s="2">
        <f t="shared" si="0"/>
        <v>0.52500000000000002</v>
      </c>
    </row>
    <row r="11" spans="1:6" x14ac:dyDescent="0.25">
      <c r="A11" s="1" t="s">
        <v>11</v>
      </c>
      <c r="B11" s="2">
        <v>100</v>
      </c>
      <c r="C11" s="2">
        <v>1.1000000000000001</v>
      </c>
      <c r="D11" s="2" t="s">
        <v>121</v>
      </c>
      <c r="E11" s="2">
        <f t="shared" si="0"/>
        <v>1.1000000000000001</v>
      </c>
    </row>
    <row r="12" spans="1:6" x14ac:dyDescent="0.25">
      <c r="A12" s="1" t="s">
        <v>12</v>
      </c>
      <c r="B12" s="2">
        <v>50</v>
      </c>
      <c r="C12" s="2">
        <v>1.17</v>
      </c>
      <c r="D12" s="2" t="s">
        <v>121</v>
      </c>
      <c r="E12" s="2">
        <f t="shared" si="0"/>
        <v>0.58499999999999996</v>
      </c>
    </row>
    <row r="13" spans="1:6" x14ac:dyDescent="0.25">
      <c r="A13" s="1" t="s">
        <v>13</v>
      </c>
      <c r="B13" s="2">
        <v>60</v>
      </c>
      <c r="C13" s="2">
        <v>1.23</v>
      </c>
      <c r="D13" s="2" t="s">
        <v>121</v>
      </c>
      <c r="E13" s="2">
        <f t="shared" si="0"/>
        <v>0.73799999999999999</v>
      </c>
    </row>
    <row r="14" spans="1:6" x14ac:dyDescent="0.25">
      <c r="A14" s="1" t="s">
        <v>14</v>
      </c>
      <c r="B14" s="2">
        <v>100</v>
      </c>
      <c r="C14" s="2">
        <v>2.3199999999999998</v>
      </c>
      <c r="D14" s="2" t="s">
        <v>121</v>
      </c>
      <c r="E14" s="2">
        <f t="shared" si="0"/>
        <v>2.3199999999999998</v>
      </c>
    </row>
    <row r="15" spans="1:6" x14ac:dyDescent="0.25">
      <c r="A15" s="1" t="s">
        <v>15</v>
      </c>
      <c r="B15" s="2">
        <v>200</v>
      </c>
      <c r="C15" s="2">
        <v>1.69</v>
      </c>
      <c r="D15" s="2" t="s">
        <v>121</v>
      </c>
      <c r="E15" s="2">
        <f t="shared" si="0"/>
        <v>3.38</v>
      </c>
    </row>
    <row r="16" spans="1:6" x14ac:dyDescent="0.25">
      <c r="A16" s="1" t="s">
        <v>16</v>
      </c>
      <c r="B16" s="2">
        <v>100</v>
      </c>
      <c r="C16" s="2">
        <v>3.76</v>
      </c>
      <c r="D16" s="2" t="s">
        <v>121</v>
      </c>
      <c r="E16" s="2">
        <f t="shared" si="0"/>
        <v>3.76</v>
      </c>
    </row>
    <row r="17" spans="1:5" x14ac:dyDescent="0.25">
      <c r="A17" s="1" t="s">
        <v>17</v>
      </c>
      <c r="B17" s="2">
        <v>0</v>
      </c>
      <c r="C17" s="2">
        <v>1.17</v>
      </c>
      <c r="D17" s="2" t="s">
        <v>121</v>
      </c>
      <c r="E17" s="2">
        <f t="shared" si="0"/>
        <v>0</v>
      </c>
    </row>
    <row r="18" spans="1:5" x14ac:dyDescent="0.25">
      <c r="A18" s="1" t="s">
        <v>18</v>
      </c>
      <c r="B18" s="2">
        <v>75</v>
      </c>
      <c r="C18" s="2">
        <v>1.23</v>
      </c>
      <c r="D18" s="2" t="s">
        <v>121</v>
      </c>
      <c r="E18" s="2">
        <f t="shared" si="0"/>
        <v>0.92249999999999999</v>
      </c>
    </row>
    <row r="19" spans="1:5" x14ac:dyDescent="0.25">
      <c r="A19" s="1" t="s">
        <v>19</v>
      </c>
      <c r="B19" s="2">
        <v>100</v>
      </c>
      <c r="C19" s="2">
        <v>1.29</v>
      </c>
      <c r="D19" s="2" t="s">
        <v>121</v>
      </c>
      <c r="E19" s="2">
        <f t="shared" si="0"/>
        <v>1.29</v>
      </c>
    </row>
    <row r="20" spans="1:5" x14ac:dyDescent="0.25">
      <c r="A20" s="1" t="s">
        <v>20</v>
      </c>
      <c r="B20" s="2">
        <v>25</v>
      </c>
      <c r="C20" s="2">
        <v>1.53</v>
      </c>
      <c r="D20" s="2" t="s">
        <v>121</v>
      </c>
      <c r="E20" s="2">
        <f t="shared" si="0"/>
        <v>0.38250000000000001</v>
      </c>
    </row>
    <row r="21" spans="1:5" x14ac:dyDescent="0.25">
      <c r="A21" s="1" t="s">
        <v>21</v>
      </c>
      <c r="B21" s="2">
        <v>100</v>
      </c>
      <c r="C21" s="2">
        <v>1.74</v>
      </c>
      <c r="D21" s="2" t="s">
        <v>121</v>
      </c>
      <c r="E21" s="2">
        <f t="shared" si="0"/>
        <v>1.74</v>
      </c>
    </row>
    <row r="22" spans="1:5" x14ac:dyDescent="0.25">
      <c r="A22" s="1" t="s">
        <v>22</v>
      </c>
      <c r="B22" s="2">
        <v>100</v>
      </c>
      <c r="C22" s="2">
        <v>1.74</v>
      </c>
      <c r="D22" s="2" t="s">
        <v>121</v>
      </c>
      <c r="E22" s="2">
        <f t="shared" si="0"/>
        <v>1.74</v>
      </c>
    </row>
    <row r="23" spans="1:5" x14ac:dyDescent="0.25">
      <c r="A23" s="1" t="s">
        <v>23</v>
      </c>
      <c r="B23" s="2">
        <v>100</v>
      </c>
      <c r="C23" s="2">
        <v>2.4500000000000002</v>
      </c>
      <c r="D23" s="2" t="s">
        <v>121</v>
      </c>
      <c r="E23" s="2">
        <f t="shared" si="0"/>
        <v>2.4500000000000002</v>
      </c>
    </row>
    <row r="24" spans="1:5" x14ac:dyDescent="0.25">
      <c r="A24" s="1" t="s">
        <v>24</v>
      </c>
      <c r="B24" s="2">
        <v>50</v>
      </c>
      <c r="C24" s="2">
        <v>4.66</v>
      </c>
      <c r="D24" s="2" t="s">
        <v>121</v>
      </c>
      <c r="E24" s="2">
        <f t="shared" si="0"/>
        <v>2.33</v>
      </c>
    </row>
    <row r="25" spans="1:5" x14ac:dyDescent="0.25">
      <c r="A25" s="1" t="s">
        <v>26</v>
      </c>
      <c r="B25" s="2">
        <v>100</v>
      </c>
      <c r="C25" s="2">
        <v>2.12</v>
      </c>
      <c r="D25" s="2" t="s">
        <v>121</v>
      </c>
      <c r="E25" s="2">
        <f t="shared" si="0"/>
        <v>2.12</v>
      </c>
    </row>
    <row r="26" spans="1:5" x14ac:dyDescent="0.25">
      <c r="A26" s="1" t="s">
        <v>27</v>
      </c>
      <c r="B26" s="2">
        <v>50</v>
      </c>
      <c r="C26" s="2">
        <v>2.12</v>
      </c>
      <c r="D26" s="2" t="s">
        <v>121</v>
      </c>
      <c r="E26" s="2">
        <f t="shared" si="0"/>
        <v>1.06</v>
      </c>
    </row>
    <row r="27" spans="1:5" x14ac:dyDescent="0.25">
      <c r="A27" s="1" t="s">
        <v>28</v>
      </c>
      <c r="B27" s="2">
        <v>100</v>
      </c>
      <c r="C27" s="2">
        <v>2.12</v>
      </c>
      <c r="D27" s="2" t="s">
        <v>121</v>
      </c>
      <c r="E27" s="2">
        <f t="shared" si="0"/>
        <v>2.12</v>
      </c>
    </row>
    <row r="28" spans="1:5" x14ac:dyDescent="0.25">
      <c r="A28" s="1" t="s">
        <v>29</v>
      </c>
      <c r="B28" s="2">
        <v>50</v>
      </c>
      <c r="C28" s="2">
        <v>2.19</v>
      </c>
      <c r="D28" s="2" t="s">
        <v>121</v>
      </c>
      <c r="E28" s="2">
        <f t="shared" si="0"/>
        <v>1.095</v>
      </c>
    </row>
    <row r="29" spans="1:5" x14ac:dyDescent="0.25">
      <c r="A29" s="1" t="s">
        <v>30</v>
      </c>
      <c r="B29" s="2">
        <v>50</v>
      </c>
      <c r="C29" s="2">
        <v>2.2599999999999998</v>
      </c>
      <c r="D29" s="2" t="s">
        <v>121</v>
      </c>
      <c r="E29" s="2">
        <f t="shared" si="0"/>
        <v>1.1299999999999999</v>
      </c>
    </row>
    <row r="30" spans="1:5" x14ac:dyDescent="0.25">
      <c r="A30" s="1" t="s">
        <v>31</v>
      </c>
      <c r="B30" s="2">
        <v>25</v>
      </c>
      <c r="C30" s="2">
        <v>3.03</v>
      </c>
      <c r="D30" s="2" t="s">
        <v>121</v>
      </c>
      <c r="E30" s="2">
        <f t="shared" si="0"/>
        <v>0.75749999999999995</v>
      </c>
    </row>
    <row r="31" spans="1:5" x14ac:dyDescent="0.25">
      <c r="A31" s="1" t="s">
        <v>32</v>
      </c>
      <c r="B31" s="2">
        <v>150</v>
      </c>
      <c r="C31" s="2">
        <v>3.15</v>
      </c>
      <c r="D31" s="2" t="s">
        <v>121</v>
      </c>
      <c r="E31" s="2">
        <f t="shared" si="0"/>
        <v>4.7249999999999996</v>
      </c>
    </row>
    <row r="32" spans="1:5" x14ac:dyDescent="0.25">
      <c r="A32" s="1" t="s">
        <v>33</v>
      </c>
      <c r="B32" s="2">
        <v>50</v>
      </c>
      <c r="C32" s="2">
        <v>3.7240000000000002</v>
      </c>
      <c r="D32" s="2" t="s">
        <v>121</v>
      </c>
      <c r="E32" s="2">
        <f t="shared" si="0"/>
        <v>1.8620000000000001</v>
      </c>
    </row>
    <row r="33" spans="1:5" x14ac:dyDescent="0.25">
      <c r="A33" s="1" t="s">
        <v>34</v>
      </c>
      <c r="B33" s="2">
        <v>100</v>
      </c>
      <c r="C33" s="2">
        <v>3.92</v>
      </c>
      <c r="D33" s="2" t="s">
        <v>121</v>
      </c>
      <c r="E33" s="2">
        <f t="shared" si="0"/>
        <v>3.92</v>
      </c>
    </row>
    <row r="34" spans="1:5" x14ac:dyDescent="0.25">
      <c r="A34" s="1" t="s">
        <v>35</v>
      </c>
      <c r="B34" s="2">
        <v>100</v>
      </c>
      <c r="C34" s="2">
        <v>4.2699999999999996</v>
      </c>
      <c r="D34" s="2" t="s">
        <v>121</v>
      </c>
      <c r="E34" s="2">
        <f t="shared" si="0"/>
        <v>4.2699999999999996</v>
      </c>
    </row>
    <row r="35" spans="1:5" x14ac:dyDescent="0.25">
      <c r="A35" s="1" t="s">
        <v>36</v>
      </c>
      <c r="B35" s="2">
        <v>50</v>
      </c>
      <c r="C35" s="2">
        <v>5.46</v>
      </c>
      <c r="D35" s="2" t="s">
        <v>121</v>
      </c>
      <c r="E35" s="2">
        <f t="shared" si="0"/>
        <v>2.73</v>
      </c>
    </row>
    <row r="36" spans="1:5" x14ac:dyDescent="0.25">
      <c r="A36" s="1" t="s">
        <v>118</v>
      </c>
      <c r="B36" s="2">
        <v>50</v>
      </c>
      <c r="C36" s="2">
        <v>5.66</v>
      </c>
      <c r="D36" s="2" t="s">
        <v>121</v>
      </c>
      <c r="E36" s="2">
        <f t="shared" si="0"/>
        <v>2.83</v>
      </c>
    </row>
    <row r="37" spans="1:5" x14ac:dyDescent="0.25">
      <c r="A37" s="1" t="s">
        <v>37</v>
      </c>
      <c r="B37" s="2">
        <v>100</v>
      </c>
      <c r="C37" s="2">
        <v>8.41</v>
      </c>
      <c r="D37" s="2" t="s">
        <v>121</v>
      </c>
      <c r="E37" s="2">
        <f t="shared" si="0"/>
        <v>8.41</v>
      </c>
    </row>
    <row r="38" spans="1:5" x14ac:dyDescent="0.25">
      <c r="A38" s="1" t="s">
        <v>38</v>
      </c>
      <c r="B38" s="2">
        <v>150</v>
      </c>
      <c r="C38" s="2">
        <v>11.94</v>
      </c>
      <c r="D38" s="2" t="s">
        <v>121</v>
      </c>
      <c r="E38" s="2">
        <f t="shared" si="0"/>
        <v>17.91</v>
      </c>
    </row>
    <row r="39" spans="1:5" x14ac:dyDescent="0.25">
      <c r="A39" s="1" t="s">
        <v>39</v>
      </c>
      <c r="B39" s="2">
        <v>100</v>
      </c>
      <c r="C39" s="2">
        <v>11.875</v>
      </c>
      <c r="D39" s="2" t="s">
        <v>121</v>
      </c>
      <c r="E39" s="2">
        <f t="shared" si="0"/>
        <v>11.875</v>
      </c>
    </row>
    <row r="40" spans="1:5" x14ac:dyDescent="0.25">
      <c r="A40" s="1" t="s">
        <v>133</v>
      </c>
      <c r="B40" s="2">
        <v>0</v>
      </c>
      <c r="C40" s="2">
        <v>21.71</v>
      </c>
      <c r="D40" s="2" t="s">
        <v>121</v>
      </c>
      <c r="E40" s="2">
        <f t="shared" si="0"/>
        <v>0</v>
      </c>
    </row>
    <row r="41" spans="1:5" x14ac:dyDescent="0.25">
      <c r="A41" s="1" t="s">
        <v>119</v>
      </c>
      <c r="B41" s="2">
        <v>0</v>
      </c>
      <c r="C41" s="2">
        <v>35.24</v>
      </c>
      <c r="D41" s="2" t="s">
        <v>121</v>
      </c>
      <c r="E41" s="2">
        <f>B41*C41/100</f>
        <v>0</v>
      </c>
    </row>
    <row r="42" spans="1:5" x14ac:dyDescent="0.25">
      <c r="A42" s="1" t="s">
        <v>44</v>
      </c>
      <c r="B42" s="2">
        <v>0</v>
      </c>
      <c r="C42" s="2">
        <v>35.24</v>
      </c>
      <c r="D42" s="2" t="s">
        <v>121</v>
      </c>
      <c r="E42" s="2">
        <f>B42*C42/100</f>
        <v>0</v>
      </c>
    </row>
    <row r="43" spans="1:5" x14ac:dyDescent="0.25">
      <c r="A43" s="1" t="s">
        <v>120</v>
      </c>
      <c r="B43" s="2">
        <v>90</v>
      </c>
      <c r="C43" s="2">
        <v>13.15</v>
      </c>
      <c r="D43" s="2" t="s">
        <v>121</v>
      </c>
      <c r="E43" s="2">
        <f>B43*C43/100</f>
        <v>11.835000000000001</v>
      </c>
    </row>
    <row r="44" spans="1:5" x14ac:dyDescent="0.25">
      <c r="A44" s="1" t="s">
        <v>122</v>
      </c>
      <c r="B44" s="2">
        <v>80</v>
      </c>
      <c r="C44" s="2">
        <v>15.56</v>
      </c>
      <c r="D44" s="2" t="s">
        <v>121</v>
      </c>
      <c r="E44" s="2">
        <f t="shared" ref="E44:E46" si="1">B44*C44/100</f>
        <v>12.448</v>
      </c>
    </row>
    <row r="45" spans="1:5" x14ac:dyDescent="0.25">
      <c r="A45" s="1" t="s">
        <v>123</v>
      </c>
      <c r="B45" s="2">
        <v>70</v>
      </c>
      <c r="C45" s="2">
        <v>28.44</v>
      </c>
      <c r="D45" s="2" t="s">
        <v>121</v>
      </c>
      <c r="E45" s="2">
        <f t="shared" si="1"/>
        <v>19.908000000000001</v>
      </c>
    </row>
    <row r="46" spans="1:5" x14ac:dyDescent="0.25">
      <c r="A46" s="1" t="s">
        <v>124</v>
      </c>
      <c r="B46" s="2">
        <v>50</v>
      </c>
      <c r="C46" s="2">
        <v>10.54</v>
      </c>
      <c r="D46" s="2" t="s">
        <v>121</v>
      </c>
      <c r="E46" s="2">
        <f t="shared" si="1"/>
        <v>5.27</v>
      </c>
    </row>
    <row r="47" spans="1:5" x14ac:dyDescent="0.25">
      <c r="A47" s="1" t="s">
        <v>125</v>
      </c>
      <c r="B47" s="2">
        <v>0</v>
      </c>
      <c r="C47" s="2">
        <v>0.67</v>
      </c>
      <c r="D47" s="2" t="s">
        <v>81</v>
      </c>
      <c r="E47" s="2">
        <f>B47*C47</f>
        <v>0</v>
      </c>
    </row>
    <row r="48" spans="1:5" x14ac:dyDescent="0.25">
      <c r="A48" s="1" t="s">
        <v>135</v>
      </c>
      <c r="B48" s="2">
        <v>50</v>
      </c>
      <c r="C48" s="2"/>
      <c r="D48" s="2" t="s">
        <v>121</v>
      </c>
      <c r="E48" s="2">
        <f>B48*C48/100</f>
        <v>0</v>
      </c>
    </row>
    <row r="49" spans="1:5" x14ac:dyDescent="0.25">
      <c r="A49" s="1" t="s">
        <v>47</v>
      </c>
      <c r="B49" s="2">
        <v>50</v>
      </c>
      <c r="C49" s="2">
        <v>2.1</v>
      </c>
      <c r="D49" s="2" t="s">
        <v>121</v>
      </c>
      <c r="E49" s="2">
        <f>B49*C49/100</f>
        <v>1.05</v>
      </c>
    </row>
    <row r="50" spans="1:5" x14ac:dyDescent="0.25">
      <c r="A50" s="1" t="s">
        <v>40</v>
      </c>
      <c r="B50" s="2">
        <v>4.5</v>
      </c>
      <c r="C50" s="2">
        <v>5.056</v>
      </c>
      <c r="D50" s="2" t="s">
        <v>83</v>
      </c>
      <c r="E50" s="2">
        <v>25.28</v>
      </c>
    </row>
    <row r="51" spans="1:5" x14ac:dyDescent="0.25">
      <c r="A51" s="1" t="s">
        <v>41</v>
      </c>
      <c r="B51" s="2">
        <v>0</v>
      </c>
      <c r="C51" s="2">
        <v>1.6739999999999999</v>
      </c>
      <c r="D51" s="2" t="s">
        <v>83</v>
      </c>
      <c r="E51" s="2">
        <v>1.6739999999999999</v>
      </c>
    </row>
    <row r="52" spans="1:5" x14ac:dyDescent="0.25">
      <c r="A52" s="1" t="s">
        <v>42</v>
      </c>
      <c r="B52" s="2">
        <v>50</v>
      </c>
      <c r="C52" s="2">
        <v>0.1764</v>
      </c>
      <c r="D52" s="2" t="s">
        <v>81</v>
      </c>
      <c r="E52" s="2">
        <f>B52*C52</f>
        <v>8.82</v>
      </c>
    </row>
    <row r="53" spans="1:5" x14ac:dyDescent="0.25">
      <c r="A53" s="1" t="s">
        <v>143</v>
      </c>
      <c r="B53" s="2">
        <v>25</v>
      </c>
      <c r="C53" s="2">
        <v>0.19620000000000001</v>
      </c>
      <c r="D53" s="2" t="s">
        <v>81</v>
      </c>
      <c r="E53" s="2">
        <f>B53*C53</f>
        <v>4.9050000000000002</v>
      </c>
    </row>
    <row r="54" spans="1:5" x14ac:dyDescent="0.25">
      <c r="A54" s="1" t="s">
        <v>43</v>
      </c>
      <c r="B54" s="2">
        <v>5</v>
      </c>
      <c r="C54" s="2">
        <v>0.30580000000000002</v>
      </c>
      <c r="D54" s="2" t="s">
        <v>81</v>
      </c>
      <c r="E54" s="2">
        <f>B54*C54</f>
        <v>1.5290000000000001</v>
      </c>
    </row>
    <row r="55" spans="1:5" x14ac:dyDescent="0.25">
      <c r="A55" s="1" t="s">
        <v>51</v>
      </c>
      <c r="B55" s="2">
        <v>100</v>
      </c>
      <c r="C55" s="2">
        <v>4.0399999999999998E-2</v>
      </c>
      <c r="D55" s="2" t="s">
        <v>121</v>
      </c>
      <c r="E55" s="2">
        <f>B55*C55</f>
        <v>4.04</v>
      </c>
    </row>
    <row r="56" spans="1:5" x14ac:dyDescent="0.25">
      <c r="A56" s="1" t="s">
        <v>50</v>
      </c>
      <c r="B56" s="2">
        <v>150</v>
      </c>
      <c r="C56" s="2">
        <v>4.6900000000000004</v>
      </c>
      <c r="D56" s="2" t="s">
        <v>121</v>
      </c>
      <c r="E56" s="2">
        <f>B56*C56/100</f>
        <v>7.035000000000001</v>
      </c>
    </row>
    <row r="57" spans="1:5" x14ac:dyDescent="0.25">
      <c r="A57" s="1" t="s">
        <v>140</v>
      </c>
      <c r="B57" s="2">
        <v>100</v>
      </c>
      <c r="C57" s="2">
        <v>7.44</v>
      </c>
      <c r="D57" s="2" t="s">
        <v>121</v>
      </c>
      <c r="E57" s="2">
        <f>B57*C57/100</f>
        <v>7.44</v>
      </c>
    </row>
    <row r="58" spans="1:5" x14ac:dyDescent="0.25">
      <c r="A58" s="1" t="s">
        <v>49</v>
      </c>
      <c r="B58" s="2">
        <v>100</v>
      </c>
      <c r="C58" s="2">
        <v>3.1E-2</v>
      </c>
      <c r="D58" s="2" t="s">
        <v>81</v>
      </c>
      <c r="E58" s="2">
        <f>B58*C58</f>
        <v>3.1</v>
      </c>
    </row>
    <row r="59" spans="1:5" x14ac:dyDescent="0.25">
      <c r="A59" s="1" t="s">
        <v>53</v>
      </c>
      <c r="B59" s="2">
        <v>17</v>
      </c>
      <c r="C59" s="2">
        <v>1.4</v>
      </c>
      <c r="D59" s="2" t="s">
        <v>84</v>
      </c>
      <c r="E59" s="2">
        <f>B59*C59</f>
        <v>23.799999999999997</v>
      </c>
    </row>
    <row r="60" spans="1:5" x14ac:dyDescent="0.25">
      <c r="A60" s="1"/>
      <c r="B60" s="1"/>
      <c r="C60" s="1"/>
      <c r="D60" s="1"/>
      <c r="E60" s="1">
        <f>SUM(E3:E59)</f>
        <v>232.62200000000001</v>
      </c>
    </row>
    <row r="66" spans="1:5" ht="26.25" x14ac:dyDescent="0.25">
      <c r="A66" s="29" t="s">
        <v>54</v>
      </c>
      <c r="B66" s="30"/>
      <c r="C66" s="30"/>
      <c r="D66" s="30"/>
      <c r="E66" s="31"/>
    </row>
    <row r="67" spans="1:5" x14ac:dyDescent="0.25">
      <c r="A67" s="2" t="s">
        <v>0</v>
      </c>
      <c r="B67" s="2" t="s">
        <v>3</v>
      </c>
      <c r="C67" s="2" t="s">
        <v>56</v>
      </c>
      <c r="D67" s="2" t="s">
        <v>81</v>
      </c>
      <c r="E67" s="2" t="s">
        <v>1</v>
      </c>
    </row>
    <row r="68" spans="1:5" x14ac:dyDescent="0.25">
      <c r="A68" s="1" t="s">
        <v>286</v>
      </c>
      <c r="B68" s="2">
        <v>0</v>
      </c>
      <c r="C68" s="2">
        <v>2.92</v>
      </c>
      <c r="D68" s="2" t="s">
        <v>82</v>
      </c>
      <c r="E68" s="2">
        <f>B68*C68</f>
        <v>0</v>
      </c>
    </row>
    <row r="69" spans="1:5" x14ac:dyDescent="0.25">
      <c r="A69" s="1" t="s">
        <v>102</v>
      </c>
      <c r="B69" s="2">
        <v>5</v>
      </c>
      <c r="C69" s="2">
        <v>2.92</v>
      </c>
      <c r="D69" s="2" t="s">
        <v>82</v>
      </c>
      <c r="E69" s="2">
        <f>B69*C69</f>
        <v>14.6</v>
      </c>
    </row>
    <row r="70" spans="1:5" x14ac:dyDescent="0.25">
      <c r="A70" s="1" t="s">
        <v>103</v>
      </c>
      <c r="B70" s="2">
        <v>20</v>
      </c>
      <c r="C70" s="2">
        <v>2.76</v>
      </c>
      <c r="D70" s="2" t="s">
        <v>82</v>
      </c>
      <c r="E70" s="2">
        <f t="shared" ref="E70:E80" si="2">B70*C70</f>
        <v>55.199999999999996</v>
      </c>
    </row>
    <row r="71" spans="1:5" x14ac:dyDescent="0.25">
      <c r="A71" s="1" t="s">
        <v>104</v>
      </c>
      <c r="B71" s="2">
        <v>10</v>
      </c>
      <c r="C71" s="2">
        <v>2.64</v>
      </c>
      <c r="D71" s="2" t="s">
        <v>82</v>
      </c>
      <c r="E71" s="2">
        <f t="shared" si="2"/>
        <v>26.400000000000002</v>
      </c>
    </row>
    <row r="72" spans="1:5" x14ac:dyDescent="0.25">
      <c r="A72" s="1" t="s">
        <v>105</v>
      </c>
      <c r="B72" s="2">
        <v>5</v>
      </c>
      <c r="C72" s="2">
        <v>2.64</v>
      </c>
      <c r="D72" s="2" t="s">
        <v>82</v>
      </c>
      <c r="E72" s="2">
        <f t="shared" si="2"/>
        <v>13.200000000000001</v>
      </c>
    </row>
    <row r="73" spans="1:5" x14ac:dyDescent="0.25">
      <c r="A73" s="1" t="s">
        <v>59</v>
      </c>
      <c r="B73" s="2">
        <v>5</v>
      </c>
      <c r="C73" s="2">
        <v>4</v>
      </c>
      <c r="D73" s="2" t="s">
        <v>82</v>
      </c>
      <c r="E73" s="2">
        <f t="shared" si="2"/>
        <v>20</v>
      </c>
    </row>
    <row r="74" spans="1:5" x14ac:dyDescent="0.25">
      <c r="A74" s="1" t="s">
        <v>60</v>
      </c>
      <c r="B74" s="2">
        <v>100</v>
      </c>
      <c r="C74" s="2">
        <v>4</v>
      </c>
      <c r="D74" s="2" t="s">
        <v>82</v>
      </c>
      <c r="E74" s="2">
        <f t="shared" si="2"/>
        <v>400</v>
      </c>
    </row>
    <row r="75" spans="1:5" x14ac:dyDescent="0.25">
      <c r="A75" s="1" t="s">
        <v>61</v>
      </c>
      <c r="B75" s="2">
        <v>0</v>
      </c>
      <c r="C75" s="2">
        <v>2</v>
      </c>
      <c r="D75" s="2" t="s">
        <v>82</v>
      </c>
      <c r="E75" s="2">
        <f t="shared" si="2"/>
        <v>0</v>
      </c>
    </row>
    <row r="76" spans="1:5" x14ac:dyDescent="0.25">
      <c r="A76" s="1" t="s">
        <v>57</v>
      </c>
      <c r="B76" s="2">
        <v>0</v>
      </c>
      <c r="C76" s="2">
        <v>4.92</v>
      </c>
      <c r="D76" s="2" t="s">
        <v>82</v>
      </c>
      <c r="E76" s="2">
        <f t="shared" si="2"/>
        <v>0</v>
      </c>
    </row>
    <row r="77" spans="1:5" x14ac:dyDescent="0.25">
      <c r="A77" s="1" t="s">
        <v>58</v>
      </c>
      <c r="B77" s="2">
        <v>50</v>
      </c>
      <c r="C77" s="2">
        <v>8.5400000000000004E-2</v>
      </c>
      <c r="D77" s="2" t="s">
        <v>82</v>
      </c>
      <c r="E77" s="2">
        <f t="shared" si="2"/>
        <v>4.2700000000000005</v>
      </c>
    </row>
    <row r="78" spans="1:5" x14ac:dyDescent="0.25">
      <c r="A78" s="1" t="s">
        <v>144</v>
      </c>
      <c r="B78" s="2">
        <v>1</v>
      </c>
      <c r="C78" s="2">
        <v>1.9419999999999999</v>
      </c>
      <c r="D78" s="2" t="s">
        <v>85</v>
      </c>
      <c r="E78" s="2">
        <f t="shared" si="2"/>
        <v>1.9419999999999999</v>
      </c>
    </row>
    <row r="79" spans="1:5" x14ac:dyDescent="0.25">
      <c r="A79" s="1" t="s">
        <v>145</v>
      </c>
      <c r="B79" s="2">
        <v>0</v>
      </c>
      <c r="C79" s="2">
        <v>2.92</v>
      </c>
      <c r="D79" s="2" t="s">
        <v>85</v>
      </c>
      <c r="E79" s="2">
        <f t="shared" si="2"/>
        <v>0</v>
      </c>
    </row>
    <row r="80" spans="1:5" x14ac:dyDescent="0.25">
      <c r="A80" s="1" t="s">
        <v>146</v>
      </c>
      <c r="B80" s="2">
        <v>6</v>
      </c>
      <c r="C80" s="2">
        <v>3.72</v>
      </c>
      <c r="D80" s="2" t="s">
        <v>85</v>
      </c>
      <c r="E80" s="2">
        <f t="shared" si="2"/>
        <v>22.32</v>
      </c>
    </row>
    <row r="81" spans="1:5" x14ac:dyDescent="0.25">
      <c r="A81" s="5" t="s">
        <v>75</v>
      </c>
      <c r="B81" s="10">
        <v>500</v>
      </c>
      <c r="C81" s="6">
        <v>46.48</v>
      </c>
      <c r="D81" s="6" t="s">
        <v>152</v>
      </c>
      <c r="E81" s="6">
        <f>B81*C81/1000</f>
        <v>23.24</v>
      </c>
    </row>
    <row r="82" spans="1:5" x14ac:dyDescent="0.25">
      <c r="A82" s="5" t="s">
        <v>148</v>
      </c>
      <c r="B82" s="2">
        <v>200</v>
      </c>
      <c r="C82" s="2">
        <v>39.700000000000003</v>
      </c>
      <c r="D82" s="6" t="s">
        <v>152</v>
      </c>
      <c r="E82" s="6">
        <f>B82*C82/1000</f>
        <v>7.9400000000000013</v>
      </c>
    </row>
    <row r="83" spans="1:5" x14ac:dyDescent="0.25">
      <c r="A83" s="5" t="s">
        <v>149</v>
      </c>
      <c r="B83" s="2">
        <v>450</v>
      </c>
      <c r="C83" s="2">
        <v>37.659999999999997</v>
      </c>
      <c r="D83" s="6" t="s">
        <v>152</v>
      </c>
      <c r="E83" s="6">
        <f t="shared" ref="E83:E85" si="3">B83*C83/1000</f>
        <v>16.946999999999999</v>
      </c>
    </row>
    <row r="84" spans="1:5" x14ac:dyDescent="0.25">
      <c r="A84" s="5" t="s">
        <v>150</v>
      </c>
      <c r="B84" s="2">
        <v>300</v>
      </c>
      <c r="C84" s="2">
        <v>36.56</v>
      </c>
      <c r="D84" s="6" t="s">
        <v>152</v>
      </c>
      <c r="E84" s="6">
        <f t="shared" si="3"/>
        <v>10.968</v>
      </c>
    </row>
    <row r="85" spans="1:5" x14ac:dyDescent="0.25">
      <c r="A85" s="1" t="s">
        <v>76</v>
      </c>
      <c r="B85" s="2">
        <v>400</v>
      </c>
      <c r="C85" s="2">
        <v>35.46</v>
      </c>
      <c r="D85" s="6" t="s">
        <v>152</v>
      </c>
      <c r="E85" s="6">
        <f t="shared" si="3"/>
        <v>14.183999999999999</v>
      </c>
    </row>
    <row r="86" spans="1:5" x14ac:dyDescent="0.25">
      <c r="A86" s="1" t="s">
        <v>153</v>
      </c>
      <c r="B86" s="2">
        <v>1</v>
      </c>
      <c r="C86" s="2">
        <v>6.29</v>
      </c>
      <c r="D86" s="2" t="s">
        <v>81</v>
      </c>
      <c r="E86" s="6">
        <f t="shared" ref="E86:E87" si="4">B86*C86</f>
        <v>6.29</v>
      </c>
    </row>
    <row r="87" spans="1:5" x14ac:dyDescent="0.25">
      <c r="A87" s="1" t="s">
        <v>154</v>
      </c>
      <c r="B87" s="2">
        <v>2</v>
      </c>
      <c r="C87" s="2">
        <v>14.79</v>
      </c>
      <c r="D87" s="2" t="s">
        <v>81</v>
      </c>
      <c r="E87" s="6">
        <f t="shared" si="4"/>
        <v>29.58</v>
      </c>
    </row>
    <row r="88" spans="1:5" x14ac:dyDescent="0.25">
      <c r="A88" s="1"/>
      <c r="B88" s="2"/>
      <c r="C88" s="2"/>
      <c r="D88" s="2"/>
      <c r="E88" s="2">
        <f>SUM(E68:E87)</f>
        <v>667.08100000000002</v>
      </c>
    </row>
    <row r="91" spans="1:5" ht="26.25" x14ac:dyDescent="0.25">
      <c r="A91" s="29" t="s">
        <v>55</v>
      </c>
      <c r="B91" s="30"/>
      <c r="C91" s="30"/>
      <c r="D91" s="30"/>
      <c r="E91" s="31"/>
    </row>
    <row r="92" spans="1:5" x14ac:dyDescent="0.25">
      <c r="A92" s="2" t="s">
        <v>0</v>
      </c>
      <c r="B92" s="2" t="s">
        <v>3</v>
      </c>
      <c r="C92" s="2" t="s">
        <v>56</v>
      </c>
      <c r="D92" s="2" t="s">
        <v>81</v>
      </c>
      <c r="E92" s="2" t="s">
        <v>1</v>
      </c>
    </row>
    <row r="93" spans="1:5" x14ac:dyDescent="0.25">
      <c r="A93" s="1" t="s">
        <v>62</v>
      </c>
      <c r="B93" s="2">
        <v>5</v>
      </c>
      <c r="C93" s="2">
        <v>8.76</v>
      </c>
      <c r="D93" s="2" t="s">
        <v>87</v>
      </c>
      <c r="E93" s="2">
        <f t="shared" ref="E93:E100" si="5">B93*C93</f>
        <v>43.8</v>
      </c>
    </row>
    <row r="94" spans="1:5" x14ac:dyDescent="0.25">
      <c r="A94" s="1" t="s">
        <v>285</v>
      </c>
      <c r="B94" s="2">
        <v>0</v>
      </c>
      <c r="C94" s="2">
        <v>4</v>
      </c>
      <c r="D94" s="2" t="s">
        <v>87</v>
      </c>
      <c r="E94" s="2">
        <f t="shared" si="5"/>
        <v>0</v>
      </c>
    </row>
    <row r="95" spans="1:5" x14ac:dyDescent="0.25">
      <c r="A95" s="1" t="s">
        <v>64</v>
      </c>
      <c r="B95" s="2">
        <v>2</v>
      </c>
      <c r="C95" s="2">
        <v>3.34</v>
      </c>
      <c r="D95" s="2" t="s">
        <v>87</v>
      </c>
      <c r="E95" s="2">
        <f t="shared" si="5"/>
        <v>6.68</v>
      </c>
    </row>
    <row r="96" spans="1:5" x14ac:dyDescent="0.25">
      <c r="A96" s="1" t="s">
        <v>161</v>
      </c>
      <c r="B96" s="2">
        <v>0</v>
      </c>
      <c r="C96" s="2">
        <v>1.07</v>
      </c>
      <c r="D96" s="2" t="s">
        <v>87</v>
      </c>
      <c r="E96" s="2">
        <f t="shared" si="5"/>
        <v>0</v>
      </c>
    </row>
    <row r="97" spans="1:5" x14ac:dyDescent="0.25">
      <c r="A97" s="1" t="s">
        <v>167</v>
      </c>
      <c r="B97" s="2">
        <v>1</v>
      </c>
      <c r="C97" s="2">
        <v>7.13</v>
      </c>
      <c r="D97" s="2" t="s">
        <v>83</v>
      </c>
      <c r="E97" s="2">
        <f t="shared" si="5"/>
        <v>7.13</v>
      </c>
    </row>
    <row r="98" spans="1:5" x14ac:dyDescent="0.25">
      <c r="A98" s="1" t="s">
        <v>168</v>
      </c>
      <c r="B98" s="2">
        <v>1</v>
      </c>
      <c r="C98" s="2">
        <v>3</v>
      </c>
      <c r="D98" s="2" t="s">
        <v>83</v>
      </c>
      <c r="E98" s="2">
        <f t="shared" si="5"/>
        <v>3</v>
      </c>
    </row>
    <row r="99" spans="1:5" x14ac:dyDescent="0.25">
      <c r="A99" s="1" t="s">
        <v>169</v>
      </c>
      <c r="B99" s="2">
        <v>1</v>
      </c>
      <c r="C99" s="2">
        <v>20.11</v>
      </c>
      <c r="D99" s="2" t="s">
        <v>170</v>
      </c>
      <c r="E99" s="2">
        <f t="shared" si="5"/>
        <v>20.11</v>
      </c>
    </row>
    <row r="100" spans="1:5" x14ac:dyDescent="0.25">
      <c r="A100" s="1" t="s">
        <v>171</v>
      </c>
      <c r="B100" s="2">
        <v>1</v>
      </c>
      <c r="C100" s="2">
        <v>17.3</v>
      </c>
      <c r="D100" s="2" t="s">
        <v>86</v>
      </c>
      <c r="E100" s="2">
        <f t="shared" si="5"/>
        <v>17.3</v>
      </c>
    </row>
    <row r="101" spans="1:5" x14ac:dyDescent="0.25">
      <c r="A101" s="1"/>
      <c r="B101" s="1"/>
      <c r="C101" s="1"/>
      <c r="D101" s="1"/>
      <c r="E101" s="1">
        <f>SUM(E93:E100)</f>
        <v>98.02</v>
      </c>
    </row>
    <row r="104" spans="1:5" ht="26.25" x14ac:dyDescent="0.25">
      <c r="A104" s="29" t="s">
        <v>172</v>
      </c>
      <c r="B104" s="30"/>
      <c r="C104" s="30"/>
      <c r="D104" s="30"/>
      <c r="E104" s="31"/>
    </row>
    <row r="105" spans="1:5" x14ac:dyDescent="0.25">
      <c r="A105" s="2" t="s">
        <v>0</v>
      </c>
      <c r="B105" s="2" t="s">
        <v>3</v>
      </c>
      <c r="C105" s="2" t="s">
        <v>56</v>
      </c>
      <c r="D105" s="2" t="s">
        <v>81</v>
      </c>
      <c r="E105" s="2" t="s">
        <v>1</v>
      </c>
    </row>
    <row r="106" spans="1:5" x14ac:dyDescent="0.25">
      <c r="A106" s="1" t="s">
        <v>175</v>
      </c>
      <c r="B106" s="2">
        <v>5.7960000000000003</v>
      </c>
      <c r="C106" s="2">
        <v>5.2</v>
      </c>
      <c r="D106" s="2" t="s">
        <v>88</v>
      </c>
      <c r="E106" s="2">
        <f>B106*C106</f>
        <v>30.139200000000002</v>
      </c>
    </row>
    <row r="107" spans="1:5" x14ac:dyDescent="0.25">
      <c r="A107" s="1" t="s">
        <v>176</v>
      </c>
      <c r="B107" s="2">
        <v>0</v>
      </c>
      <c r="C107" s="2">
        <v>5.46</v>
      </c>
      <c r="D107" s="2" t="s">
        <v>88</v>
      </c>
      <c r="E107" s="2">
        <f>B107*C107</f>
        <v>0</v>
      </c>
    </row>
    <row r="108" spans="1:5" x14ac:dyDescent="0.25">
      <c r="A108" s="1" t="s">
        <v>177</v>
      </c>
      <c r="B108" s="2">
        <v>28.98</v>
      </c>
      <c r="C108" s="2">
        <v>5.4</v>
      </c>
      <c r="D108" s="2" t="s">
        <v>88</v>
      </c>
      <c r="E108" s="2">
        <f>B108*C108</f>
        <v>156.49200000000002</v>
      </c>
    </row>
    <row r="109" spans="1:5" x14ac:dyDescent="0.25">
      <c r="A109" s="1"/>
      <c r="B109" s="1"/>
      <c r="C109" s="1"/>
      <c r="D109" s="1"/>
      <c r="E109" s="1">
        <f>SUM(E106:E108)</f>
        <v>186.63120000000004</v>
      </c>
    </row>
    <row r="111" spans="1:5" x14ac:dyDescent="0.25">
      <c r="B111" s="9"/>
    </row>
    <row r="120" spans="1:5" ht="26.25" x14ac:dyDescent="0.25">
      <c r="A120" s="29" t="s">
        <v>110</v>
      </c>
      <c r="B120" s="30"/>
      <c r="C120" s="30"/>
      <c r="D120" s="30"/>
      <c r="E120" s="31"/>
    </row>
    <row r="121" spans="1:5" x14ac:dyDescent="0.25">
      <c r="A121" s="2" t="s">
        <v>0</v>
      </c>
      <c r="B121" s="2" t="s">
        <v>3</v>
      </c>
      <c r="C121" s="2" t="s">
        <v>56</v>
      </c>
      <c r="D121" s="2" t="s">
        <v>81</v>
      </c>
      <c r="E121" s="2" t="s">
        <v>1</v>
      </c>
    </row>
    <row r="122" spans="1:5" x14ac:dyDescent="0.25">
      <c r="A122" s="1" t="s">
        <v>216</v>
      </c>
      <c r="B122" s="2">
        <v>60</v>
      </c>
      <c r="C122" s="2">
        <v>2.2400000000000002</v>
      </c>
      <c r="D122" s="2" t="s">
        <v>81</v>
      </c>
      <c r="E122" s="2">
        <f t="shared" ref="E122:E139" si="6">B122*C122</f>
        <v>134.4</v>
      </c>
    </row>
    <row r="123" spans="1:5" x14ac:dyDescent="0.25">
      <c r="A123" s="1" t="s">
        <v>224</v>
      </c>
      <c r="B123" s="2">
        <v>20</v>
      </c>
      <c r="C123" s="2">
        <v>0.54</v>
      </c>
      <c r="D123" s="2" t="s">
        <v>81</v>
      </c>
      <c r="E123" s="2">
        <f t="shared" si="6"/>
        <v>10.8</v>
      </c>
    </row>
    <row r="124" spans="1:5" x14ac:dyDescent="0.25">
      <c r="A124" s="1" t="s">
        <v>225</v>
      </c>
      <c r="B124" s="2">
        <v>2</v>
      </c>
      <c r="C124" s="2">
        <v>0.79</v>
      </c>
      <c r="D124" s="2" t="s">
        <v>81</v>
      </c>
      <c r="E124" s="2">
        <f t="shared" si="6"/>
        <v>1.58</v>
      </c>
    </row>
    <row r="125" spans="1:5" x14ac:dyDescent="0.25">
      <c r="A125" s="1" t="s">
        <v>226</v>
      </c>
      <c r="B125" s="2">
        <v>100</v>
      </c>
      <c r="C125" s="2">
        <v>0.38</v>
      </c>
      <c r="D125" s="2" t="s">
        <v>81</v>
      </c>
      <c r="E125" s="2">
        <f t="shared" si="6"/>
        <v>38</v>
      </c>
    </row>
    <row r="126" spans="1:5" x14ac:dyDescent="0.25">
      <c r="A126" s="1" t="s">
        <v>229</v>
      </c>
      <c r="B126" s="2">
        <v>5</v>
      </c>
      <c r="C126" s="2">
        <v>1.66</v>
      </c>
      <c r="D126" s="2" t="s">
        <v>81</v>
      </c>
      <c r="E126" s="2">
        <f t="shared" si="6"/>
        <v>8.2999999999999989</v>
      </c>
    </row>
    <row r="127" spans="1:5" x14ac:dyDescent="0.25">
      <c r="A127" s="1" t="s">
        <v>230</v>
      </c>
      <c r="B127" s="2">
        <v>8</v>
      </c>
      <c r="C127" s="2">
        <v>0.78</v>
      </c>
      <c r="D127" s="2" t="s">
        <v>81</v>
      </c>
      <c r="E127" s="2">
        <f t="shared" si="6"/>
        <v>6.24</v>
      </c>
    </row>
    <row r="128" spans="1:5" x14ac:dyDescent="0.25">
      <c r="A128" s="1" t="s">
        <v>231</v>
      </c>
      <c r="B128" s="2">
        <v>6</v>
      </c>
      <c r="C128" s="2">
        <v>31.3</v>
      </c>
      <c r="D128" s="2" t="s">
        <v>81</v>
      </c>
      <c r="E128" s="2">
        <f t="shared" si="6"/>
        <v>187.8</v>
      </c>
    </row>
    <row r="129" spans="1:5" x14ac:dyDescent="0.25">
      <c r="A129" s="1" t="s">
        <v>232</v>
      </c>
      <c r="B129" s="2">
        <v>6</v>
      </c>
      <c r="C129" s="2">
        <v>31.3</v>
      </c>
      <c r="D129" s="2" t="s">
        <v>81</v>
      </c>
      <c r="E129" s="2">
        <f t="shared" si="6"/>
        <v>187.8</v>
      </c>
    </row>
    <row r="130" spans="1:5" x14ac:dyDescent="0.25">
      <c r="A130" s="1" t="s">
        <v>237</v>
      </c>
      <c r="B130" s="2">
        <v>100</v>
      </c>
      <c r="C130" s="2">
        <v>0.66249999999999998</v>
      </c>
      <c r="D130" s="2" t="s">
        <v>81</v>
      </c>
      <c r="E130" s="2">
        <f t="shared" si="6"/>
        <v>66.25</v>
      </c>
    </row>
    <row r="131" spans="1:5" x14ac:dyDescent="0.25">
      <c r="A131" s="1" t="s">
        <v>238</v>
      </c>
      <c r="B131" s="2">
        <v>50</v>
      </c>
      <c r="C131" s="2">
        <v>1.08</v>
      </c>
      <c r="D131" s="2" t="s">
        <v>81</v>
      </c>
      <c r="E131" s="2">
        <f t="shared" si="6"/>
        <v>54</v>
      </c>
    </row>
    <row r="132" spans="1:5" x14ac:dyDescent="0.25">
      <c r="A132" s="1" t="s">
        <v>247</v>
      </c>
      <c r="B132" s="2">
        <v>10</v>
      </c>
      <c r="C132" s="2">
        <v>1.83</v>
      </c>
      <c r="D132" s="2" t="s">
        <v>81</v>
      </c>
      <c r="E132" s="2">
        <f t="shared" si="6"/>
        <v>18.3</v>
      </c>
    </row>
    <row r="133" spans="1:5" x14ac:dyDescent="0.25">
      <c r="A133" s="1" t="s">
        <v>248</v>
      </c>
      <c r="B133" s="2">
        <v>5</v>
      </c>
      <c r="C133" s="2">
        <v>0.7</v>
      </c>
      <c r="D133" s="2" t="s">
        <v>81</v>
      </c>
      <c r="E133" s="2">
        <f t="shared" si="6"/>
        <v>3.5</v>
      </c>
    </row>
    <row r="134" spans="1:5" x14ac:dyDescent="0.25">
      <c r="A134" s="1" t="s">
        <v>249</v>
      </c>
      <c r="B134" s="2">
        <v>10</v>
      </c>
      <c r="C134" s="2">
        <v>0.8</v>
      </c>
      <c r="D134" s="2" t="s">
        <v>81</v>
      </c>
      <c r="E134" s="2">
        <f t="shared" si="6"/>
        <v>8</v>
      </c>
    </row>
    <row r="135" spans="1:5" x14ac:dyDescent="0.25">
      <c r="A135" s="1" t="s">
        <v>253</v>
      </c>
      <c r="B135" s="2">
        <v>50</v>
      </c>
      <c r="C135" s="2">
        <v>3.37</v>
      </c>
      <c r="D135" s="2" t="s">
        <v>81</v>
      </c>
      <c r="E135" s="2">
        <f t="shared" si="6"/>
        <v>168.5</v>
      </c>
    </row>
    <row r="136" spans="1:5" x14ac:dyDescent="0.25">
      <c r="A136" s="1" t="s">
        <v>254</v>
      </c>
      <c r="B136" s="2">
        <v>10</v>
      </c>
      <c r="C136" s="2">
        <v>3.45</v>
      </c>
      <c r="D136" s="2" t="s">
        <v>81</v>
      </c>
      <c r="E136" s="2">
        <f t="shared" si="6"/>
        <v>34.5</v>
      </c>
    </row>
    <row r="137" spans="1:5" x14ac:dyDescent="0.25">
      <c r="A137" s="1" t="s">
        <v>255</v>
      </c>
      <c r="B137" s="2">
        <v>12</v>
      </c>
      <c r="C137" s="2">
        <v>3.97</v>
      </c>
      <c r="D137" s="2" t="s">
        <v>81</v>
      </c>
      <c r="E137" s="2">
        <f t="shared" si="6"/>
        <v>47.64</v>
      </c>
    </row>
    <row r="138" spans="1:5" x14ac:dyDescent="0.25">
      <c r="A138" s="1" t="s">
        <v>280</v>
      </c>
      <c r="B138" s="2">
        <v>1</v>
      </c>
      <c r="C138" s="2">
        <v>6.81</v>
      </c>
      <c r="D138" s="2" t="s">
        <v>81</v>
      </c>
      <c r="E138" s="2">
        <f t="shared" si="6"/>
        <v>6.81</v>
      </c>
    </row>
    <row r="139" spans="1:5" x14ac:dyDescent="0.25">
      <c r="A139" s="1" t="s">
        <v>252</v>
      </c>
      <c r="B139" s="2">
        <v>10</v>
      </c>
      <c r="C139" s="2">
        <v>0.32</v>
      </c>
      <c r="D139" s="2" t="s">
        <v>81</v>
      </c>
      <c r="E139" s="2">
        <f t="shared" si="6"/>
        <v>3.2</v>
      </c>
    </row>
    <row r="140" spans="1:5" x14ac:dyDescent="0.25">
      <c r="A140" s="1"/>
      <c r="B140" s="1"/>
      <c r="C140" s="1"/>
      <c r="D140" s="1"/>
      <c r="E140" s="1">
        <f>SUM(E122:E139)</f>
        <v>985.62</v>
      </c>
    </row>
    <row r="143" spans="1:5" x14ac:dyDescent="0.25">
      <c r="D143" s="1" t="s">
        <v>109</v>
      </c>
      <c r="E143" s="1">
        <f>SUM(E60+E88+E101+E109+E140)</f>
        <v>2169.9742000000001</v>
      </c>
    </row>
  </sheetData>
  <mergeCells count="5">
    <mergeCell ref="A1:E1"/>
    <mergeCell ref="A66:E66"/>
    <mergeCell ref="A91:E91"/>
    <mergeCell ref="A104:E104"/>
    <mergeCell ref="A120:E120"/>
  </mergeCells>
  <pageMargins left="0.7" right="0.7" top="0.75" bottom="0.75" header="0.3" footer="0.3"/>
  <pageSetup paperSize="9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3EA87E-941A-4098-997B-699E4D6EA49D}">
  <dimension ref="A1:F143"/>
  <sheetViews>
    <sheetView topLeftCell="A121" workbookViewId="0">
      <selection activeCell="C144" sqref="C144"/>
    </sheetView>
  </sheetViews>
  <sheetFormatPr baseColWidth="10" defaultRowHeight="15" x14ac:dyDescent="0.25"/>
  <cols>
    <col min="1" max="1" width="45.5703125" customWidth="1"/>
    <col min="3" max="3" width="11.28515625" bestFit="1" customWidth="1"/>
  </cols>
  <sheetData>
    <row r="1" spans="1:6" ht="40.5" customHeight="1" x14ac:dyDescent="0.4">
      <c r="A1" s="29" t="s">
        <v>25</v>
      </c>
      <c r="B1" s="30"/>
      <c r="C1" s="30"/>
      <c r="D1" s="30"/>
      <c r="E1" s="31"/>
      <c r="F1" s="3"/>
    </row>
    <row r="2" spans="1:6" ht="17.25" customHeight="1" x14ac:dyDescent="0.25">
      <c r="A2" s="2" t="s">
        <v>0</v>
      </c>
      <c r="B2" s="2" t="s">
        <v>3</v>
      </c>
      <c r="C2" s="2" t="s">
        <v>56</v>
      </c>
      <c r="D2" s="2" t="s">
        <v>81</v>
      </c>
      <c r="E2" s="2" t="s">
        <v>1</v>
      </c>
    </row>
    <row r="3" spans="1:6" x14ac:dyDescent="0.25">
      <c r="A3" s="1" t="s">
        <v>2</v>
      </c>
      <c r="B3" s="2">
        <v>50</v>
      </c>
      <c r="C3" s="2">
        <v>0.99</v>
      </c>
      <c r="D3" s="2" t="s">
        <v>121</v>
      </c>
      <c r="E3" s="2">
        <f t="shared" ref="E3:E40" si="0">B3*C3/100</f>
        <v>0.495</v>
      </c>
    </row>
    <row r="4" spans="1:6" x14ac:dyDescent="0.25">
      <c r="A4" s="1" t="s">
        <v>4</v>
      </c>
      <c r="B4" s="2">
        <v>100</v>
      </c>
      <c r="C4" s="2">
        <v>1.05</v>
      </c>
      <c r="D4" s="2" t="s">
        <v>121</v>
      </c>
      <c r="E4" s="2">
        <f t="shared" si="0"/>
        <v>1.05</v>
      </c>
    </row>
    <row r="5" spans="1:6" x14ac:dyDescent="0.25">
      <c r="A5" s="1" t="s">
        <v>5</v>
      </c>
      <c r="B5" s="2">
        <v>50</v>
      </c>
      <c r="C5" s="2">
        <v>1.05</v>
      </c>
      <c r="D5" s="2" t="s">
        <v>121</v>
      </c>
      <c r="E5" s="2">
        <f t="shared" si="0"/>
        <v>0.52500000000000002</v>
      </c>
    </row>
    <row r="6" spans="1:6" x14ac:dyDescent="0.25">
      <c r="A6" s="1" t="s">
        <v>6</v>
      </c>
      <c r="B6" s="2">
        <v>25</v>
      </c>
      <c r="C6" s="2">
        <v>1.17</v>
      </c>
      <c r="D6" s="2" t="s">
        <v>121</v>
      </c>
      <c r="E6" s="2">
        <f t="shared" si="0"/>
        <v>0.29249999999999998</v>
      </c>
    </row>
    <row r="7" spans="1:6" x14ac:dyDescent="0.25">
      <c r="A7" s="1" t="s">
        <v>7</v>
      </c>
      <c r="B7" s="2">
        <v>50</v>
      </c>
      <c r="C7" s="2">
        <v>1.23</v>
      </c>
      <c r="D7" s="2" t="s">
        <v>121</v>
      </c>
      <c r="E7" s="2">
        <f t="shared" si="0"/>
        <v>0.61499999999999999</v>
      </c>
    </row>
    <row r="8" spans="1:6" x14ac:dyDescent="0.25">
      <c r="A8" s="1" t="s">
        <v>8</v>
      </c>
      <c r="B8" s="2">
        <v>65</v>
      </c>
      <c r="C8" s="2">
        <v>1.35</v>
      </c>
      <c r="D8" s="2" t="s">
        <v>121</v>
      </c>
      <c r="E8" s="2">
        <f t="shared" si="0"/>
        <v>0.87749999999999995</v>
      </c>
    </row>
    <row r="9" spans="1:6" x14ac:dyDescent="0.25">
      <c r="A9" s="1" t="s">
        <v>9</v>
      </c>
      <c r="B9" s="2">
        <v>25</v>
      </c>
      <c r="C9" s="2">
        <v>1.81</v>
      </c>
      <c r="D9" s="2" t="s">
        <v>121</v>
      </c>
      <c r="E9" s="2">
        <f t="shared" si="0"/>
        <v>0.45250000000000001</v>
      </c>
    </row>
    <row r="10" spans="1:6" x14ac:dyDescent="0.25">
      <c r="A10" s="1" t="s">
        <v>10</v>
      </c>
      <c r="B10" s="2">
        <v>40</v>
      </c>
      <c r="C10" s="2">
        <v>1.05</v>
      </c>
      <c r="D10" s="2" t="s">
        <v>121</v>
      </c>
      <c r="E10" s="2">
        <f t="shared" si="0"/>
        <v>0.42</v>
      </c>
    </row>
    <row r="11" spans="1:6" x14ac:dyDescent="0.25">
      <c r="A11" s="1" t="s">
        <v>11</v>
      </c>
      <c r="B11" s="2">
        <v>150</v>
      </c>
      <c r="C11" s="2">
        <v>1.1000000000000001</v>
      </c>
      <c r="D11" s="2" t="s">
        <v>121</v>
      </c>
      <c r="E11" s="2">
        <f t="shared" si="0"/>
        <v>1.65</v>
      </c>
    </row>
    <row r="12" spans="1:6" x14ac:dyDescent="0.25">
      <c r="A12" s="1" t="s">
        <v>12</v>
      </c>
      <c r="B12" s="2">
        <v>30</v>
      </c>
      <c r="C12" s="2">
        <v>1.17</v>
      </c>
      <c r="D12" s="2" t="s">
        <v>121</v>
      </c>
      <c r="E12" s="2">
        <f t="shared" si="0"/>
        <v>0.35099999999999992</v>
      </c>
    </row>
    <row r="13" spans="1:6" x14ac:dyDescent="0.25">
      <c r="A13" s="1" t="s">
        <v>13</v>
      </c>
      <c r="B13" s="2">
        <v>50</v>
      </c>
      <c r="C13" s="2">
        <v>1.23</v>
      </c>
      <c r="D13" s="2" t="s">
        <v>121</v>
      </c>
      <c r="E13" s="2">
        <f t="shared" si="0"/>
        <v>0.61499999999999999</v>
      </c>
    </row>
    <row r="14" spans="1:6" x14ac:dyDescent="0.25">
      <c r="A14" s="1" t="s">
        <v>14</v>
      </c>
      <c r="B14" s="2">
        <v>150</v>
      </c>
      <c r="C14" s="2">
        <v>2.3199999999999998</v>
      </c>
      <c r="D14" s="2" t="s">
        <v>121</v>
      </c>
      <c r="E14" s="2">
        <f t="shared" si="0"/>
        <v>3.48</v>
      </c>
    </row>
    <row r="15" spans="1:6" x14ac:dyDescent="0.25">
      <c r="A15" s="1" t="s">
        <v>15</v>
      </c>
      <c r="B15" s="2">
        <v>150</v>
      </c>
      <c r="C15" s="2">
        <v>1.69</v>
      </c>
      <c r="D15" s="2" t="s">
        <v>121</v>
      </c>
      <c r="E15" s="2">
        <f t="shared" si="0"/>
        <v>2.5350000000000001</v>
      </c>
    </row>
    <row r="16" spans="1:6" x14ac:dyDescent="0.25">
      <c r="A16" s="1" t="s">
        <v>16</v>
      </c>
      <c r="B16" s="2">
        <v>100</v>
      </c>
      <c r="C16" s="2">
        <v>3.76</v>
      </c>
      <c r="D16" s="2" t="s">
        <v>121</v>
      </c>
      <c r="E16" s="2">
        <f t="shared" si="0"/>
        <v>3.76</v>
      </c>
    </row>
    <row r="17" spans="1:5" x14ac:dyDescent="0.25">
      <c r="A17" s="1" t="s">
        <v>17</v>
      </c>
      <c r="B17" s="2">
        <v>0</v>
      </c>
      <c r="C17" s="2">
        <v>1.17</v>
      </c>
      <c r="D17" s="2" t="s">
        <v>121</v>
      </c>
      <c r="E17" s="2">
        <f t="shared" si="0"/>
        <v>0</v>
      </c>
    </row>
    <row r="18" spans="1:5" x14ac:dyDescent="0.25">
      <c r="A18" s="1" t="s">
        <v>18</v>
      </c>
      <c r="B18" s="2">
        <v>35</v>
      </c>
      <c r="C18" s="2">
        <v>1.23</v>
      </c>
      <c r="D18" s="2" t="s">
        <v>121</v>
      </c>
      <c r="E18" s="2">
        <f t="shared" si="0"/>
        <v>0.43049999999999999</v>
      </c>
    </row>
    <row r="19" spans="1:5" x14ac:dyDescent="0.25">
      <c r="A19" s="1" t="s">
        <v>19</v>
      </c>
      <c r="B19" s="2">
        <v>150</v>
      </c>
      <c r="C19" s="2">
        <v>1.29</v>
      </c>
      <c r="D19" s="2" t="s">
        <v>121</v>
      </c>
      <c r="E19" s="2">
        <f t="shared" si="0"/>
        <v>1.9350000000000001</v>
      </c>
    </row>
    <row r="20" spans="1:5" x14ac:dyDescent="0.25">
      <c r="A20" s="1" t="s">
        <v>20</v>
      </c>
      <c r="B20" s="2">
        <v>50</v>
      </c>
      <c r="C20" s="2">
        <v>1.53</v>
      </c>
      <c r="D20" s="2" t="s">
        <v>121</v>
      </c>
      <c r="E20" s="2">
        <f t="shared" si="0"/>
        <v>0.76500000000000001</v>
      </c>
    </row>
    <row r="21" spans="1:5" x14ac:dyDescent="0.25">
      <c r="A21" s="1" t="s">
        <v>21</v>
      </c>
      <c r="B21" s="2">
        <v>150</v>
      </c>
      <c r="C21" s="2">
        <v>1.74</v>
      </c>
      <c r="D21" s="2" t="s">
        <v>121</v>
      </c>
      <c r="E21" s="2">
        <f t="shared" si="0"/>
        <v>2.61</v>
      </c>
    </row>
    <row r="22" spans="1:5" x14ac:dyDescent="0.25">
      <c r="A22" s="1" t="s">
        <v>22</v>
      </c>
      <c r="B22" s="2">
        <v>50</v>
      </c>
      <c r="C22" s="2">
        <v>1.74</v>
      </c>
      <c r="D22" s="2" t="s">
        <v>121</v>
      </c>
      <c r="E22" s="2">
        <f t="shared" si="0"/>
        <v>0.87</v>
      </c>
    </row>
    <row r="23" spans="1:5" x14ac:dyDescent="0.25">
      <c r="A23" s="1" t="s">
        <v>23</v>
      </c>
      <c r="B23" s="2">
        <v>25</v>
      </c>
      <c r="C23" s="2">
        <v>2.4500000000000002</v>
      </c>
      <c r="D23" s="2" t="s">
        <v>121</v>
      </c>
      <c r="E23" s="2">
        <f t="shared" si="0"/>
        <v>0.61250000000000004</v>
      </c>
    </row>
    <row r="24" spans="1:5" x14ac:dyDescent="0.25">
      <c r="A24" s="1" t="s">
        <v>24</v>
      </c>
      <c r="B24" s="2">
        <v>65</v>
      </c>
      <c r="C24" s="2">
        <v>4.66</v>
      </c>
      <c r="D24" s="2" t="s">
        <v>121</v>
      </c>
      <c r="E24" s="2">
        <f t="shared" si="0"/>
        <v>3.0290000000000004</v>
      </c>
    </row>
    <row r="25" spans="1:5" x14ac:dyDescent="0.25">
      <c r="A25" s="1" t="s">
        <v>26</v>
      </c>
      <c r="B25" s="2">
        <v>50</v>
      </c>
      <c r="C25" s="2">
        <v>2.12</v>
      </c>
      <c r="D25" s="2" t="s">
        <v>121</v>
      </c>
      <c r="E25" s="2">
        <f t="shared" si="0"/>
        <v>1.06</v>
      </c>
    </row>
    <row r="26" spans="1:5" x14ac:dyDescent="0.25">
      <c r="A26" s="1" t="s">
        <v>27</v>
      </c>
      <c r="B26" s="2">
        <v>100</v>
      </c>
      <c r="C26" s="2">
        <v>2.12</v>
      </c>
      <c r="D26" s="2" t="s">
        <v>121</v>
      </c>
      <c r="E26" s="2">
        <f t="shared" si="0"/>
        <v>2.12</v>
      </c>
    </row>
    <row r="27" spans="1:5" x14ac:dyDescent="0.25">
      <c r="A27" s="1" t="s">
        <v>28</v>
      </c>
      <c r="B27" s="2">
        <v>75</v>
      </c>
      <c r="C27" s="2">
        <v>2.12</v>
      </c>
      <c r="D27" s="2" t="s">
        <v>121</v>
      </c>
      <c r="E27" s="2">
        <f t="shared" si="0"/>
        <v>1.59</v>
      </c>
    </row>
    <row r="28" spans="1:5" x14ac:dyDescent="0.25">
      <c r="A28" s="1" t="s">
        <v>29</v>
      </c>
      <c r="B28" s="2">
        <v>25</v>
      </c>
      <c r="C28" s="2">
        <v>2.19</v>
      </c>
      <c r="D28" s="2" t="s">
        <v>121</v>
      </c>
      <c r="E28" s="2">
        <f t="shared" si="0"/>
        <v>0.54749999999999999</v>
      </c>
    </row>
    <row r="29" spans="1:5" x14ac:dyDescent="0.25">
      <c r="A29" s="1" t="s">
        <v>30</v>
      </c>
      <c r="B29" s="2">
        <v>75</v>
      </c>
      <c r="C29" s="2">
        <v>2.2599999999999998</v>
      </c>
      <c r="D29" s="2" t="s">
        <v>121</v>
      </c>
      <c r="E29" s="2">
        <f t="shared" si="0"/>
        <v>1.6949999999999996</v>
      </c>
    </row>
    <row r="30" spans="1:5" x14ac:dyDescent="0.25">
      <c r="A30" s="1" t="s">
        <v>31</v>
      </c>
      <c r="B30" s="2">
        <v>50</v>
      </c>
      <c r="C30" s="2">
        <v>3.03</v>
      </c>
      <c r="D30" s="2" t="s">
        <v>121</v>
      </c>
      <c r="E30" s="2">
        <f t="shared" si="0"/>
        <v>1.5149999999999999</v>
      </c>
    </row>
    <row r="31" spans="1:5" x14ac:dyDescent="0.25">
      <c r="A31" s="1" t="s">
        <v>32</v>
      </c>
      <c r="B31" s="2">
        <v>100</v>
      </c>
      <c r="C31" s="2">
        <v>3.15</v>
      </c>
      <c r="D31" s="2" t="s">
        <v>121</v>
      </c>
      <c r="E31" s="2">
        <f t="shared" si="0"/>
        <v>3.15</v>
      </c>
    </row>
    <row r="32" spans="1:5" x14ac:dyDescent="0.25">
      <c r="A32" s="1" t="s">
        <v>33</v>
      </c>
      <c r="B32" s="2">
        <v>100</v>
      </c>
      <c r="C32" s="2">
        <v>3.7240000000000002</v>
      </c>
      <c r="D32" s="2" t="s">
        <v>121</v>
      </c>
      <c r="E32" s="2">
        <f t="shared" si="0"/>
        <v>3.7240000000000002</v>
      </c>
    </row>
    <row r="33" spans="1:5" x14ac:dyDescent="0.25">
      <c r="A33" s="1" t="s">
        <v>34</v>
      </c>
      <c r="B33" s="2">
        <v>150</v>
      </c>
      <c r="C33" s="2">
        <v>3.92</v>
      </c>
      <c r="D33" s="2" t="s">
        <v>121</v>
      </c>
      <c r="E33" s="2">
        <f t="shared" si="0"/>
        <v>5.88</v>
      </c>
    </row>
    <row r="34" spans="1:5" x14ac:dyDescent="0.25">
      <c r="A34" s="1" t="s">
        <v>35</v>
      </c>
      <c r="B34" s="2">
        <v>50</v>
      </c>
      <c r="C34" s="2">
        <v>4.2699999999999996</v>
      </c>
      <c r="D34" s="2" t="s">
        <v>121</v>
      </c>
      <c r="E34" s="2">
        <f t="shared" si="0"/>
        <v>2.1349999999999998</v>
      </c>
    </row>
    <row r="35" spans="1:5" x14ac:dyDescent="0.25">
      <c r="A35" s="1" t="s">
        <v>36</v>
      </c>
      <c r="B35" s="2">
        <v>100</v>
      </c>
      <c r="C35" s="2">
        <v>5.46</v>
      </c>
      <c r="D35" s="2" t="s">
        <v>121</v>
      </c>
      <c r="E35" s="2">
        <f t="shared" si="0"/>
        <v>5.46</v>
      </c>
    </row>
    <row r="36" spans="1:5" x14ac:dyDescent="0.25">
      <c r="A36" s="1" t="s">
        <v>118</v>
      </c>
      <c r="B36" s="2">
        <v>50</v>
      </c>
      <c r="C36" s="2">
        <v>5.66</v>
      </c>
      <c r="D36" s="2" t="s">
        <v>121</v>
      </c>
      <c r="E36" s="2">
        <f t="shared" si="0"/>
        <v>2.83</v>
      </c>
    </row>
    <row r="37" spans="1:5" x14ac:dyDescent="0.25">
      <c r="A37" s="1" t="s">
        <v>37</v>
      </c>
      <c r="B37" s="2">
        <v>75</v>
      </c>
      <c r="C37" s="2">
        <v>8.41</v>
      </c>
      <c r="D37" s="2" t="s">
        <v>121</v>
      </c>
      <c r="E37" s="2">
        <f t="shared" si="0"/>
        <v>6.3075000000000001</v>
      </c>
    </row>
    <row r="38" spans="1:5" x14ac:dyDescent="0.25">
      <c r="A38" s="1" t="s">
        <v>38</v>
      </c>
      <c r="B38" s="2">
        <v>200</v>
      </c>
      <c r="C38" s="2">
        <v>11.94</v>
      </c>
      <c r="D38" s="2" t="s">
        <v>121</v>
      </c>
      <c r="E38" s="2">
        <f t="shared" si="0"/>
        <v>23.88</v>
      </c>
    </row>
    <row r="39" spans="1:5" x14ac:dyDescent="0.25">
      <c r="A39" s="1" t="s">
        <v>39</v>
      </c>
      <c r="B39" s="2">
        <v>250</v>
      </c>
      <c r="C39" s="2">
        <v>11.875</v>
      </c>
      <c r="D39" s="2" t="s">
        <v>121</v>
      </c>
      <c r="E39" s="2">
        <f t="shared" si="0"/>
        <v>29.6875</v>
      </c>
    </row>
    <row r="40" spans="1:5" x14ac:dyDescent="0.25">
      <c r="A40" s="1" t="s">
        <v>133</v>
      </c>
      <c r="B40" s="2">
        <v>0</v>
      </c>
      <c r="C40" s="2">
        <v>21.71</v>
      </c>
      <c r="D40" s="2" t="s">
        <v>121</v>
      </c>
      <c r="E40" s="2">
        <f t="shared" si="0"/>
        <v>0</v>
      </c>
    </row>
    <row r="41" spans="1:5" x14ac:dyDescent="0.25">
      <c r="A41" s="1" t="s">
        <v>119</v>
      </c>
      <c r="B41" s="2">
        <v>25</v>
      </c>
      <c r="C41" s="2">
        <v>35.24</v>
      </c>
      <c r="D41" s="2" t="s">
        <v>121</v>
      </c>
      <c r="E41" s="2">
        <f>B41*C41/100</f>
        <v>8.81</v>
      </c>
    </row>
    <row r="42" spans="1:5" x14ac:dyDescent="0.25">
      <c r="A42" s="1" t="s">
        <v>44</v>
      </c>
      <c r="B42" s="2">
        <v>10</v>
      </c>
      <c r="C42" s="2">
        <v>35.24</v>
      </c>
      <c r="D42" s="2" t="s">
        <v>121</v>
      </c>
      <c r="E42" s="2">
        <f>B42*C42/100</f>
        <v>3.5240000000000005</v>
      </c>
    </row>
    <row r="43" spans="1:5" x14ac:dyDescent="0.25">
      <c r="A43" s="1" t="s">
        <v>120</v>
      </c>
      <c r="B43" s="2">
        <v>80</v>
      </c>
      <c r="C43" s="2">
        <v>13.15</v>
      </c>
      <c r="D43" s="2" t="s">
        <v>121</v>
      </c>
      <c r="E43" s="2">
        <f>B43*C43/100</f>
        <v>10.52</v>
      </c>
    </row>
    <row r="44" spans="1:5" x14ac:dyDescent="0.25">
      <c r="A44" s="1" t="s">
        <v>122</v>
      </c>
      <c r="B44" s="2">
        <v>65</v>
      </c>
      <c r="C44" s="2">
        <v>15.56</v>
      </c>
      <c r="D44" s="2" t="s">
        <v>121</v>
      </c>
      <c r="E44" s="2">
        <f t="shared" ref="E44:E46" si="1">B44*C44/100</f>
        <v>10.113999999999999</v>
      </c>
    </row>
    <row r="45" spans="1:5" x14ac:dyDescent="0.25">
      <c r="A45" s="1" t="s">
        <v>123</v>
      </c>
      <c r="B45" s="2">
        <v>50</v>
      </c>
      <c r="C45" s="2">
        <v>28.44</v>
      </c>
      <c r="D45" s="2" t="s">
        <v>121</v>
      </c>
      <c r="E45" s="2">
        <f t="shared" si="1"/>
        <v>14.22</v>
      </c>
    </row>
    <row r="46" spans="1:5" x14ac:dyDescent="0.25">
      <c r="A46" s="1" t="s">
        <v>124</v>
      </c>
      <c r="B46" s="2">
        <v>50</v>
      </c>
      <c r="C46" s="2">
        <v>10.54</v>
      </c>
      <c r="D46" s="2" t="s">
        <v>121</v>
      </c>
      <c r="E46" s="2">
        <f t="shared" si="1"/>
        <v>5.27</v>
      </c>
    </row>
    <row r="47" spans="1:5" x14ac:dyDescent="0.25">
      <c r="A47" s="1" t="s">
        <v>125</v>
      </c>
      <c r="B47" s="2">
        <v>0</v>
      </c>
      <c r="C47" s="2">
        <v>0.67</v>
      </c>
      <c r="D47" s="2" t="s">
        <v>81</v>
      </c>
      <c r="E47" s="2">
        <f>B47*C47</f>
        <v>0</v>
      </c>
    </row>
    <row r="48" spans="1:5" x14ac:dyDescent="0.25">
      <c r="A48" s="1" t="s">
        <v>135</v>
      </c>
      <c r="B48" s="2">
        <v>50</v>
      </c>
      <c r="C48" s="2"/>
      <c r="D48" s="2" t="s">
        <v>121</v>
      </c>
      <c r="E48" s="2">
        <f>B48*C48/100</f>
        <v>0</v>
      </c>
    </row>
    <row r="49" spans="1:5" x14ac:dyDescent="0.25">
      <c r="A49" s="1" t="s">
        <v>47</v>
      </c>
      <c r="B49" s="2">
        <v>50</v>
      </c>
      <c r="C49" s="2">
        <v>2.1</v>
      </c>
      <c r="D49" s="2" t="s">
        <v>121</v>
      </c>
      <c r="E49" s="2">
        <f>B49*C49/100</f>
        <v>1.05</v>
      </c>
    </row>
    <row r="50" spans="1:5" x14ac:dyDescent="0.25">
      <c r="A50" s="1" t="s">
        <v>40</v>
      </c>
      <c r="B50" s="2">
        <v>4.5</v>
      </c>
      <c r="C50" s="2">
        <v>5.056</v>
      </c>
      <c r="D50" s="2" t="s">
        <v>83</v>
      </c>
      <c r="E50" s="2">
        <v>25.28</v>
      </c>
    </row>
    <row r="51" spans="1:5" x14ac:dyDescent="0.25">
      <c r="A51" s="1" t="s">
        <v>41</v>
      </c>
      <c r="B51" s="2">
        <v>0</v>
      </c>
      <c r="C51" s="2">
        <v>1.6739999999999999</v>
      </c>
      <c r="D51" s="2" t="s">
        <v>83</v>
      </c>
      <c r="E51" s="2">
        <v>1.6739999999999999</v>
      </c>
    </row>
    <row r="52" spans="1:5" x14ac:dyDescent="0.25">
      <c r="A52" s="1" t="s">
        <v>42</v>
      </c>
      <c r="B52" s="2">
        <v>0</v>
      </c>
      <c r="C52" s="2">
        <v>0.1764</v>
      </c>
      <c r="D52" s="2" t="s">
        <v>81</v>
      </c>
      <c r="E52" s="2">
        <f>B52*C52</f>
        <v>0</v>
      </c>
    </row>
    <row r="53" spans="1:5" x14ac:dyDescent="0.25">
      <c r="A53" s="1" t="s">
        <v>143</v>
      </c>
      <c r="B53" s="2">
        <v>0</v>
      </c>
      <c r="C53" s="2">
        <v>0.19620000000000001</v>
      </c>
      <c r="D53" s="2" t="s">
        <v>81</v>
      </c>
      <c r="E53" s="2">
        <f>B53*C53</f>
        <v>0</v>
      </c>
    </row>
    <row r="54" spans="1:5" x14ac:dyDescent="0.25">
      <c r="A54" s="1" t="s">
        <v>43</v>
      </c>
      <c r="B54" s="2">
        <v>5</v>
      </c>
      <c r="C54" s="2">
        <v>0.30580000000000002</v>
      </c>
      <c r="D54" s="2" t="s">
        <v>81</v>
      </c>
      <c r="E54" s="2">
        <f>B54*C54</f>
        <v>1.5290000000000001</v>
      </c>
    </row>
    <row r="55" spans="1:5" x14ac:dyDescent="0.25">
      <c r="A55" s="1" t="s">
        <v>51</v>
      </c>
      <c r="B55" s="2">
        <v>100</v>
      </c>
      <c r="C55" s="2">
        <v>4.0399999999999998E-2</v>
      </c>
      <c r="D55" s="2" t="s">
        <v>121</v>
      </c>
      <c r="E55" s="2">
        <f>B55*C55</f>
        <v>4.04</v>
      </c>
    </row>
    <row r="56" spans="1:5" x14ac:dyDescent="0.25">
      <c r="A56" s="1" t="s">
        <v>50</v>
      </c>
      <c r="B56" s="2">
        <v>75</v>
      </c>
      <c r="C56" s="2">
        <v>4.6900000000000004</v>
      </c>
      <c r="D56" s="2" t="s">
        <v>121</v>
      </c>
      <c r="E56" s="2">
        <f>B56*C56/100</f>
        <v>3.5175000000000005</v>
      </c>
    </row>
    <row r="57" spans="1:5" x14ac:dyDescent="0.25">
      <c r="A57" s="1" t="s">
        <v>140</v>
      </c>
      <c r="B57" s="2">
        <v>150</v>
      </c>
      <c r="C57" s="2">
        <v>7.44</v>
      </c>
      <c r="D57" s="2" t="s">
        <v>121</v>
      </c>
      <c r="E57" s="2">
        <f>B57*C57/100</f>
        <v>11.16</v>
      </c>
    </row>
    <row r="58" spans="1:5" x14ac:dyDescent="0.25">
      <c r="A58" s="1" t="s">
        <v>49</v>
      </c>
      <c r="B58" s="2">
        <v>50</v>
      </c>
      <c r="C58" s="2">
        <v>3.1E-2</v>
      </c>
      <c r="D58" s="2" t="s">
        <v>81</v>
      </c>
      <c r="E58" s="2">
        <f>B58*C58</f>
        <v>1.55</v>
      </c>
    </row>
    <row r="59" spans="1:5" x14ac:dyDescent="0.25">
      <c r="A59" s="1" t="s">
        <v>53</v>
      </c>
      <c r="B59" s="2">
        <v>10</v>
      </c>
      <c r="C59" s="2">
        <v>1.4</v>
      </c>
      <c r="D59" s="2" t="s">
        <v>84</v>
      </c>
      <c r="E59" s="2">
        <f>B59*C59</f>
        <v>14</v>
      </c>
    </row>
    <row r="60" spans="1:5" x14ac:dyDescent="0.25">
      <c r="A60" s="1"/>
      <c r="B60" s="1"/>
      <c r="C60" s="1"/>
      <c r="D60" s="1"/>
      <c r="E60" s="1">
        <f>SUM(E3:E59)</f>
        <v>235.21050000000002</v>
      </c>
    </row>
    <row r="66" spans="1:5" ht="26.25" x14ac:dyDescent="0.25">
      <c r="A66" s="29" t="s">
        <v>54</v>
      </c>
      <c r="B66" s="30"/>
      <c r="C66" s="30"/>
      <c r="D66" s="30"/>
      <c r="E66" s="31"/>
    </row>
    <row r="67" spans="1:5" x14ac:dyDescent="0.25">
      <c r="A67" s="2" t="s">
        <v>0</v>
      </c>
      <c r="B67" s="2" t="s">
        <v>3</v>
      </c>
      <c r="C67" s="2" t="s">
        <v>56</v>
      </c>
      <c r="D67" s="2" t="s">
        <v>81</v>
      </c>
      <c r="E67" s="2" t="s">
        <v>1</v>
      </c>
    </row>
    <row r="68" spans="1:5" x14ac:dyDescent="0.25">
      <c r="A68" s="1" t="s">
        <v>286</v>
      </c>
      <c r="B68" s="2">
        <v>5</v>
      </c>
      <c r="C68" s="2">
        <v>2.92</v>
      </c>
      <c r="D68" s="2" t="s">
        <v>82</v>
      </c>
      <c r="E68" s="2">
        <f>B68*C68</f>
        <v>14.6</v>
      </c>
    </row>
    <row r="69" spans="1:5" x14ac:dyDescent="0.25">
      <c r="A69" s="1" t="s">
        <v>102</v>
      </c>
      <c r="B69" s="2">
        <v>5</v>
      </c>
      <c r="C69" s="2">
        <v>2.92</v>
      </c>
      <c r="D69" s="2" t="s">
        <v>82</v>
      </c>
      <c r="E69" s="2">
        <f>B69*C69</f>
        <v>14.6</v>
      </c>
    </row>
    <row r="70" spans="1:5" x14ac:dyDescent="0.25">
      <c r="A70" s="1" t="s">
        <v>103</v>
      </c>
      <c r="B70" s="2">
        <v>5</v>
      </c>
      <c r="C70" s="2">
        <v>2.76</v>
      </c>
      <c r="D70" s="2" t="s">
        <v>82</v>
      </c>
      <c r="E70" s="2">
        <f t="shared" ref="E70:E80" si="2">B70*C70</f>
        <v>13.799999999999999</v>
      </c>
    </row>
    <row r="71" spans="1:5" x14ac:dyDescent="0.25">
      <c r="A71" s="1" t="s">
        <v>104</v>
      </c>
      <c r="B71" s="2">
        <v>7</v>
      </c>
      <c r="C71" s="2">
        <v>2.64</v>
      </c>
      <c r="D71" s="2" t="s">
        <v>82</v>
      </c>
      <c r="E71" s="2">
        <f t="shared" si="2"/>
        <v>18.48</v>
      </c>
    </row>
    <row r="72" spans="1:5" x14ac:dyDescent="0.25">
      <c r="A72" s="1" t="s">
        <v>105</v>
      </c>
      <c r="B72" s="2">
        <v>10</v>
      </c>
      <c r="C72" s="2">
        <v>2.64</v>
      </c>
      <c r="D72" s="2" t="s">
        <v>82</v>
      </c>
      <c r="E72" s="2">
        <f t="shared" si="2"/>
        <v>26.400000000000002</v>
      </c>
    </row>
    <row r="73" spans="1:5" x14ac:dyDescent="0.25">
      <c r="A73" s="1" t="s">
        <v>287</v>
      </c>
      <c r="B73" s="2">
        <v>25</v>
      </c>
      <c r="C73" s="2">
        <v>4</v>
      </c>
      <c r="D73" s="2" t="s">
        <v>82</v>
      </c>
      <c r="E73" s="2">
        <f t="shared" si="2"/>
        <v>100</v>
      </c>
    </row>
    <row r="74" spans="1:5" x14ac:dyDescent="0.25">
      <c r="A74" s="1" t="s">
        <v>60</v>
      </c>
      <c r="B74" s="2">
        <v>50</v>
      </c>
      <c r="C74" s="2">
        <v>4</v>
      </c>
      <c r="D74" s="2" t="s">
        <v>82</v>
      </c>
      <c r="E74" s="2">
        <f t="shared" si="2"/>
        <v>200</v>
      </c>
    </row>
    <row r="75" spans="1:5" x14ac:dyDescent="0.25">
      <c r="A75" s="1" t="s">
        <v>61</v>
      </c>
      <c r="B75" s="2">
        <v>0</v>
      </c>
      <c r="C75" s="2">
        <v>2</v>
      </c>
      <c r="D75" s="2" t="s">
        <v>82</v>
      </c>
      <c r="E75" s="2">
        <f t="shared" si="2"/>
        <v>0</v>
      </c>
    </row>
    <row r="76" spans="1:5" x14ac:dyDescent="0.25">
      <c r="A76" s="1" t="s">
        <v>57</v>
      </c>
      <c r="B76" s="2">
        <v>0</v>
      </c>
      <c r="C76" s="2">
        <v>4.92</v>
      </c>
      <c r="D76" s="2" t="s">
        <v>82</v>
      </c>
      <c r="E76" s="2">
        <f t="shared" si="2"/>
        <v>0</v>
      </c>
    </row>
    <row r="77" spans="1:5" x14ac:dyDescent="0.25">
      <c r="A77" s="1" t="s">
        <v>58</v>
      </c>
      <c r="B77" s="2">
        <v>0</v>
      </c>
      <c r="C77" s="2">
        <v>8.5400000000000004E-2</v>
      </c>
      <c r="D77" s="2" t="s">
        <v>82</v>
      </c>
      <c r="E77" s="2">
        <f t="shared" si="2"/>
        <v>0</v>
      </c>
    </row>
    <row r="78" spans="1:5" x14ac:dyDescent="0.25">
      <c r="A78" s="1" t="s">
        <v>144</v>
      </c>
      <c r="B78" s="2">
        <v>1</v>
      </c>
      <c r="C78" s="2">
        <v>1.9419999999999999</v>
      </c>
      <c r="D78" s="2" t="s">
        <v>85</v>
      </c>
      <c r="E78" s="2">
        <f t="shared" si="2"/>
        <v>1.9419999999999999</v>
      </c>
    </row>
    <row r="79" spans="1:5" x14ac:dyDescent="0.25">
      <c r="A79" s="1" t="s">
        <v>145</v>
      </c>
      <c r="B79" s="2">
        <v>5</v>
      </c>
      <c r="C79" s="2">
        <v>2.92</v>
      </c>
      <c r="D79" s="2" t="s">
        <v>85</v>
      </c>
      <c r="E79" s="2">
        <f t="shared" si="2"/>
        <v>14.6</v>
      </c>
    </row>
    <row r="80" spans="1:5" x14ac:dyDescent="0.25">
      <c r="A80" s="1" t="s">
        <v>146</v>
      </c>
      <c r="B80" s="2">
        <v>4</v>
      </c>
      <c r="C80" s="2">
        <v>3.72</v>
      </c>
      <c r="D80" s="2" t="s">
        <v>85</v>
      </c>
      <c r="E80" s="2">
        <f t="shared" si="2"/>
        <v>14.88</v>
      </c>
    </row>
    <row r="81" spans="1:5" x14ac:dyDescent="0.25">
      <c r="A81" s="5" t="s">
        <v>75</v>
      </c>
      <c r="B81" s="10">
        <v>300</v>
      </c>
      <c r="C81" s="6">
        <v>46.48</v>
      </c>
      <c r="D81" s="6" t="s">
        <v>152</v>
      </c>
      <c r="E81" s="6">
        <f>B81*C81/1000</f>
        <v>13.943999999999999</v>
      </c>
    </row>
    <row r="82" spans="1:5" x14ac:dyDescent="0.25">
      <c r="A82" s="5" t="s">
        <v>148</v>
      </c>
      <c r="B82" s="2">
        <v>100</v>
      </c>
      <c r="C82" s="2">
        <v>39.700000000000003</v>
      </c>
      <c r="D82" s="6" t="s">
        <v>152</v>
      </c>
      <c r="E82" s="6">
        <f>B82*C82/1000</f>
        <v>3.9700000000000006</v>
      </c>
    </row>
    <row r="83" spans="1:5" x14ac:dyDescent="0.25">
      <c r="A83" s="5" t="s">
        <v>149</v>
      </c>
      <c r="B83" s="2">
        <v>400</v>
      </c>
      <c r="C83" s="2">
        <v>37.659999999999997</v>
      </c>
      <c r="D83" s="6" t="s">
        <v>152</v>
      </c>
      <c r="E83" s="6">
        <f t="shared" ref="E83:E85" si="3">B83*C83/1000</f>
        <v>15.063999999999998</v>
      </c>
    </row>
    <row r="84" spans="1:5" x14ac:dyDescent="0.25">
      <c r="A84" s="5" t="s">
        <v>150</v>
      </c>
      <c r="B84" s="2">
        <v>250</v>
      </c>
      <c r="C84" s="2">
        <v>36.56</v>
      </c>
      <c r="D84" s="6" t="s">
        <v>152</v>
      </c>
      <c r="E84" s="6">
        <f t="shared" si="3"/>
        <v>9.14</v>
      </c>
    </row>
    <row r="85" spans="1:5" x14ac:dyDescent="0.25">
      <c r="A85" s="1" t="s">
        <v>76</v>
      </c>
      <c r="B85" s="2">
        <v>200</v>
      </c>
      <c r="C85" s="2">
        <v>35.46</v>
      </c>
      <c r="D85" s="6" t="s">
        <v>152</v>
      </c>
      <c r="E85" s="6">
        <f t="shared" si="3"/>
        <v>7.0919999999999996</v>
      </c>
    </row>
    <row r="86" spans="1:5" x14ac:dyDescent="0.25">
      <c r="A86" s="1" t="s">
        <v>153</v>
      </c>
      <c r="B86" s="2">
        <v>0</v>
      </c>
      <c r="C86" s="2">
        <v>6.29</v>
      </c>
      <c r="D86" s="2" t="s">
        <v>81</v>
      </c>
      <c r="E86" s="6">
        <f t="shared" ref="E86:E87" si="4">B86*C86</f>
        <v>0</v>
      </c>
    </row>
    <row r="87" spans="1:5" x14ac:dyDescent="0.25">
      <c r="A87" s="1" t="s">
        <v>154</v>
      </c>
      <c r="B87" s="2">
        <v>0</v>
      </c>
      <c r="C87" s="2">
        <v>14.79</v>
      </c>
      <c r="D87" s="2" t="s">
        <v>81</v>
      </c>
      <c r="E87" s="6">
        <f t="shared" si="4"/>
        <v>0</v>
      </c>
    </row>
    <row r="88" spans="1:5" x14ac:dyDescent="0.25">
      <c r="A88" s="1"/>
      <c r="B88" s="2"/>
      <c r="C88" s="2"/>
      <c r="D88" s="2"/>
      <c r="E88" s="2">
        <f>SUM(E68:E87)</f>
        <v>468.51200000000006</v>
      </c>
    </row>
    <row r="91" spans="1:5" ht="26.25" x14ac:dyDescent="0.25">
      <c r="A91" s="29" t="s">
        <v>55</v>
      </c>
      <c r="B91" s="30"/>
      <c r="C91" s="30"/>
      <c r="D91" s="30"/>
      <c r="E91" s="31"/>
    </row>
    <row r="92" spans="1:5" x14ac:dyDescent="0.25">
      <c r="A92" s="2" t="s">
        <v>0</v>
      </c>
      <c r="B92" s="2" t="s">
        <v>3</v>
      </c>
      <c r="C92" s="2" t="s">
        <v>56</v>
      </c>
      <c r="D92" s="2" t="s">
        <v>81</v>
      </c>
      <c r="E92" s="2" t="s">
        <v>1</v>
      </c>
    </row>
    <row r="93" spans="1:5" x14ac:dyDescent="0.25">
      <c r="A93" s="1" t="s">
        <v>62</v>
      </c>
      <c r="B93" s="2">
        <v>0</v>
      </c>
      <c r="C93" s="2">
        <v>8.76</v>
      </c>
      <c r="D93" s="2" t="s">
        <v>87</v>
      </c>
      <c r="E93" s="2">
        <f t="shared" ref="E93:E100" si="5">B93*C93</f>
        <v>0</v>
      </c>
    </row>
    <row r="94" spans="1:5" x14ac:dyDescent="0.25">
      <c r="A94" s="1" t="s">
        <v>285</v>
      </c>
      <c r="B94" s="2">
        <v>10</v>
      </c>
      <c r="C94" s="2">
        <v>4</v>
      </c>
      <c r="D94" s="2" t="s">
        <v>87</v>
      </c>
      <c r="E94" s="2">
        <f t="shared" si="5"/>
        <v>40</v>
      </c>
    </row>
    <row r="95" spans="1:5" x14ac:dyDescent="0.25">
      <c r="A95" s="1" t="s">
        <v>64</v>
      </c>
      <c r="B95" s="2">
        <v>2</v>
      </c>
      <c r="C95" s="2">
        <v>3.34</v>
      </c>
      <c r="D95" s="2" t="s">
        <v>87</v>
      </c>
      <c r="E95" s="2">
        <f t="shared" si="5"/>
        <v>6.68</v>
      </c>
    </row>
    <row r="96" spans="1:5" x14ac:dyDescent="0.25">
      <c r="A96" s="1" t="s">
        <v>161</v>
      </c>
      <c r="B96" s="2">
        <v>2</v>
      </c>
      <c r="C96" s="2">
        <v>1.07</v>
      </c>
      <c r="D96" s="2" t="s">
        <v>87</v>
      </c>
      <c r="E96" s="2">
        <f t="shared" si="5"/>
        <v>2.14</v>
      </c>
    </row>
    <row r="97" spans="1:5" x14ac:dyDescent="0.25">
      <c r="A97" s="1" t="s">
        <v>167</v>
      </c>
      <c r="B97" s="2">
        <v>1</v>
      </c>
      <c r="C97" s="2">
        <v>5</v>
      </c>
      <c r="D97" s="2" t="s">
        <v>83</v>
      </c>
      <c r="E97" s="2">
        <f t="shared" si="5"/>
        <v>5</v>
      </c>
    </row>
    <row r="98" spans="1:5" x14ac:dyDescent="0.25">
      <c r="A98" s="1" t="s">
        <v>168</v>
      </c>
      <c r="B98" s="2">
        <v>1</v>
      </c>
      <c r="C98" s="2">
        <v>1</v>
      </c>
      <c r="D98" s="2" t="s">
        <v>83</v>
      </c>
      <c r="E98" s="2">
        <f t="shared" si="5"/>
        <v>1</v>
      </c>
    </row>
    <row r="99" spans="1:5" x14ac:dyDescent="0.25">
      <c r="A99" s="1" t="s">
        <v>169</v>
      </c>
      <c r="B99" s="2">
        <v>1</v>
      </c>
      <c r="C99" s="2">
        <v>20.11</v>
      </c>
      <c r="D99" s="2" t="s">
        <v>170</v>
      </c>
      <c r="E99" s="2">
        <f t="shared" si="5"/>
        <v>20.11</v>
      </c>
    </row>
    <row r="100" spans="1:5" x14ac:dyDescent="0.25">
      <c r="A100" s="1" t="s">
        <v>171</v>
      </c>
      <c r="B100" s="2">
        <v>1</v>
      </c>
      <c r="C100" s="2">
        <v>17.3</v>
      </c>
      <c r="D100" s="2" t="s">
        <v>86</v>
      </c>
      <c r="E100" s="2">
        <f t="shared" si="5"/>
        <v>17.3</v>
      </c>
    </row>
    <row r="101" spans="1:5" x14ac:dyDescent="0.25">
      <c r="A101" s="1"/>
      <c r="B101" s="1"/>
      <c r="C101" s="1"/>
      <c r="D101" s="1"/>
      <c r="E101" s="1">
        <f>SUM(E93:E100)</f>
        <v>92.23</v>
      </c>
    </row>
    <row r="104" spans="1:5" ht="26.25" x14ac:dyDescent="0.25">
      <c r="A104" s="29" t="s">
        <v>172</v>
      </c>
      <c r="B104" s="30"/>
      <c r="C104" s="30"/>
      <c r="D104" s="30"/>
      <c r="E104" s="31"/>
    </row>
    <row r="105" spans="1:5" x14ac:dyDescent="0.25">
      <c r="A105" s="2" t="s">
        <v>0</v>
      </c>
      <c r="B105" s="2" t="s">
        <v>3</v>
      </c>
      <c r="C105" s="2" t="s">
        <v>56</v>
      </c>
      <c r="D105" s="2" t="s">
        <v>81</v>
      </c>
      <c r="E105" s="2" t="s">
        <v>1</v>
      </c>
    </row>
    <row r="106" spans="1:5" x14ac:dyDescent="0.25">
      <c r="A106" s="1" t="s">
        <v>175</v>
      </c>
      <c r="B106" s="2">
        <v>0</v>
      </c>
      <c r="C106" s="2">
        <v>5.2</v>
      </c>
      <c r="D106" s="2" t="s">
        <v>88</v>
      </c>
      <c r="E106" s="2">
        <f>B106*C106</f>
        <v>0</v>
      </c>
    </row>
    <row r="107" spans="1:5" x14ac:dyDescent="0.25">
      <c r="A107" s="1" t="s">
        <v>176</v>
      </c>
      <c r="B107" s="2">
        <v>0</v>
      </c>
      <c r="C107" s="2">
        <v>5.46</v>
      </c>
      <c r="D107" s="2" t="s">
        <v>88</v>
      </c>
      <c r="E107" s="2">
        <f>B107*C107</f>
        <v>0</v>
      </c>
    </row>
    <row r="108" spans="1:5" x14ac:dyDescent="0.25">
      <c r="A108" s="1" t="s">
        <v>177</v>
      </c>
      <c r="B108" s="2">
        <v>28.98</v>
      </c>
      <c r="C108" s="2">
        <v>5.4</v>
      </c>
      <c r="D108" s="2" t="s">
        <v>88</v>
      </c>
      <c r="E108" s="2">
        <f>B108*C108</f>
        <v>156.49200000000002</v>
      </c>
    </row>
    <row r="109" spans="1:5" x14ac:dyDescent="0.25">
      <c r="A109" s="1"/>
      <c r="B109" s="1"/>
      <c r="C109" s="1"/>
      <c r="D109" s="1"/>
      <c r="E109" s="1">
        <f>SUM(E106:E108)</f>
        <v>156.49200000000002</v>
      </c>
    </row>
    <row r="111" spans="1:5" x14ac:dyDescent="0.25">
      <c r="B111" s="9"/>
    </row>
    <row r="120" spans="1:5" ht="26.25" x14ac:dyDescent="0.25">
      <c r="A120" s="29" t="s">
        <v>110</v>
      </c>
      <c r="B120" s="30"/>
      <c r="C120" s="30"/>
      <c r="D120" s="30"/>
      <c r="E120" s="31"/>
    </row>
    <row r="121" spans="1:5" x14ac:dyDescent="0.25">
      <c r="A121" s="2" t="s">
        <v>0</v>
      </c>
      <c r="B121" s="2" t="s">
        <v>3</v>
      </c>
      <c r="C121" s="2" t="s">
        <v>56</v>
      </c>
      <c r="D121" s="2" t="s">
        <v>81</v>
      </c>
      <c r="E121" s="2" t="s">
        <v>1</v>
      </c>
    </row>
    <row r="122" spans="1:5" x14ac:dyDescent="0.25">
      <c r="A122" s="1" t="s">
        <v>216</v>
      </c>
      <c r="B122" s="2">
        <v>20</v>
      </c>
      <c r="C122" s="2">
        <v>2.2400000000000002</v>
      </c>
      <c r="D122" s="2" t="s">
        <v>81</v>
      </c>
      <c r="E122" s="2">
        <f t="shared" ref="E122:E139" si="6">B122*C122</f>
        <v>44.800000000000004</v>
      </c>
    </row>
    <row r="123" spans="1:5" x14ac:dyDescent="0.25">
      <c r="A123" s="1" t="s">
        <v>224</v>
      </c>
      <c r="B123" s="2">
        <v>25</v>
      </c>
      <c r="C123" s="2">
        <v>0.54</v>
      </c>
      <c r="D123" s="2" t="s">
        <v>81</v>
      </c>
      <c r="E123" s="2">
        <f t="shared" si="6"/>
        <v>13.5</v>
      </c>
    </row>
    <row r="124" spans="1:5" x14ac:dyDescent="0.25">
      <c r="A124" s="1" t="s">
        <v>225</v>
      </c>
      <c r="B124" s="2">
        <v>2</v>
      </c>
      <c r="C124" s="2">
        <v>0.79</v>
      </c>
      <c r="D124" s="2" t="s">
        <v>81</v>
      </c>
      <c r="E124" s="2">
        <f t="shared" si="6"/>
        <v>1.58</v>
      </c>
    </row>
    <row r="125" spans="1:5" x14ac:dyDescent="0.25">
      <c r="A125" s="1" t="s">
        <v>226</v>
      </c>
      <c r="B125" s="2">
        <v>50</v>
      </c>
      <c r="C125" s="2">
        <v>0.38</v>
      </c>
      <c r="D125" s="2" t="s">
        <v>81</v>
      </c>
      <c r="E125" s="2">
        <f t="shared" si="6"/>
        <v>19</v>
      </c>
    </row>
    <row r="126" spans="1:5" x14ac:dyDescent="0.25">
      <c r="A126" s="1" t="s">
        <v>229</v>
      </c>
      <c r="B126" s="2">
        <v>5</v>
      </c>
      <c r="C126" s="2">
        <v>1.66</v>
      </c>
      <c r="D126" s="2" t="s">
        <v>81</v>
      </c>
      <c r="E126" s="2">
        <f t="shared" si="6"/>
        <v>8.2999999999999989</v>
      </c>
    </row>
    <row r="127" spans="1:5" x14ac:dyDescent="0.25">
      <c r="A127" s="1" t="s">
        <v>230</v>
      </c>
      <c r="B127" s="2">
        <v>8</v>
      </c>
      <c r="C127" s="2">
        <v>0.78</v>
      </c>
      <c r="D127" s="2" t="s">
        <v>81</v>
      </c>
      <c r="E127" s="2">
        <f t="shared" si="6"/>
        <v>6.24</v>
      </c>
    </row>
    <row r="128" spans="1:5" x14ac:dyDescent="0.25">
      <c r="A128" s="1" t="s">
        <v>231</v>
      </c>
      <c r="B128" s="2">
        <v>6</v>
      </c>
      <c r="C128" s="2">
        <v>31.3</v>
      </c>
      <c r="D128" s="2" t="s">
        <v>81</v>
      </c>
      <c r="E128" s="2">
        <f t="shared" si="6"/>
        <v>187.8</v>
      </c>
    </row>
    <row r="129" spans="1:5" x14ac:dyDescent="0.25">
      <c r="A129" s="1" t="s">
        <v>232</v>
      </c>
      <c r="B129" s="2">
        <v>6</v>
      </c>
      <c r="C129" s="2">
        <v>31.3</v>
      </c>
      <c r="D129" s="2" t="s">
        <v>81</v>
      </c>
      <c r="E129" s="2">
        <f t="shared" si="6"/>
        <v>187.8</v>
      </c>
    </row>
    <row r="130" spans="1:5" x14ac:dyDescent="0.25">
      <c r="A130" s="1" t="s">
        <v>237</v>
      </c>
      <c r="B130" s="2">
        <v>50</v>
      </c>
      <c r="C130" s="2">
        <v>0.66249999999999998</v>
      </c>
      <c r="D130" s="2" t="s">
        <v>81</v>
      </c>
      <c r="E130" s="2">
        <f t="shared" si="6"/>
        <v>33.125</v>
      </c>
    </row>
    <row r="131" spans="1:5" x14ac:dyDescent="0.25">
      <c r="A131" s="1" t="s">
        <v>238</v>
      </c>
      <c r="B131" s="2">
        <v>25</v>
      </c>
      <c r="C131" s="2">
        <v>1.08</v>
      </c>
      <c r="D131" s="2" t="s">
        <v>81</v>
      </c>
      <c r="E131" s="2">
        <f t="shared" si="6"/>
        <v>27</v>
      </c>
    </row>
    <row r="132" spans="1:5" x14ac:dyDescent="0.25">
      <c r="A132" s="1" t="s">
        <v>247</v>
      </c>
      <c r="B132" s="2">
        <v>10</v>
      </c>
      <c r="C132" s="2">
        <v>1.83</v>
      </c>
      <c r="D132" s="2" t="s">
        <v>81</v>
      </c>
      <c r="E132" s="2">
        <f t="shared" si="6"/>
        <v>18.3</v>
      </c>
    </row>
    <row r="133" spans="1:5" x14ac:dyDescent="0.25">
      <c r="A133" s="1" t="s">
        <v>248</v>
      </c>
      <c r="B133" s="2">
        <v>5</v>
      </c>
      <c r="C133" s="2">
        <v>0.7</v>
      </c>
      <c r="D133" s="2" t="s">
        <v>81</v>
      </c>
      <c r="E133" s="2">
        <f t="shared" si="6"/>
        <v>3.5</v>
      </c>
    </row>
    <row r="134" spans="1:5" x14ac:dyDescent="0.25">
      <c r="A134" s="1" t="s">
        <v>249</v>
      </c>
      <c r="B134" s="2">
        <v>20</v>
      </c>
      <c r="C134" s="2">
        <v>0.8</v>
      </c>
      <c r="D134" s="2" t="s">
        <v>81</v>
      </c>
      <c r="E134" s="2">
        <f t="shared" si="6"/>
        <v>16</v>
      </c>
    </row>
    <row r="135" spans="1:5" x14ac:dyDescent="0.25">
      <c r="A135" s="1" t="s">
        <v>253</v>
      </c>
      <c r="B135" s="2">
        <v>20</v>
      </c>
      <c r="C135" s="2">
        <v>3.37</v>
      </c>
      <c r="D135" s="2" t="s">
        <v>81</v>
      </c>
      <c r="E135" s="2">
        <f t="shared" si="6"/>
        <v>67.400000000000006</v>
      </c>
    </row>
    <row r="136" spans="1:5" x14ac:dyDescent="0.25">
      <c r="A136" s="1" t="s">
        <v>254</v>
      </c>
      <c r="B136" s="2">
        <v>20</v>
      </c>
      <c r="C136" s="2">
        <v>3.45</v>
      </c>
      <c r="D136" s="2" t="s">
        <v>81</v>
      </c>
      <c r="E136" s="2">
        <f t="shared" si="6"/>
        <v>69</v>
      </c>
    </row>
    <row r="137" spans="1:5" x14ac:dyDescent="0.25">
      <c r="A137" s="1" t="s">
        <v>255</v>
      </c>
      <c r="B137" s="2">
        <v>12</v>
      </c>
      <c r="C137" s="2">
        <v>3.97</v>
      </c>
      <c r="D137" s="2" t="s">
        <v>81</v>
      </c>
      <c r="E137" s="2">
        <f t="shared" si="6"/>
        <v>47.64</v>
      </c>
    </row>
    <row r="138" spans="1:5" x14ac:dyDescent="0.25">
      <c r="A138" s="1" t="s">
        <v>280</v>
      </c>
      <c r="B138" s="2">
        <v>1</v>
      </c>
      <c r="C138" s="2">
        <v>6.81</v>
      </c>
      <c r="D138" s="2" t="s">
        <v>81</v>
      </c>
      <c r="E138" s="2">
        <f t="shared" si="6"/>
        <v>6.81</v>
      </c>
    </row>
    <row r="139" spans="1:5" x14ac:dyDescent="0.25">
      <c r="A139" s="1" t="s">
        <v>252</v>
      </c>
      <c r="B139" s="2">
        <v>5</v>
      </c>
      <c r="C139" s="2">
        <v>0.32</v>
      </c>
      <c r="D139" s="2" t="s">
        <v>81</v>
      </c>
      <c r="E139" s="2">
        <f t="shared" si="6"/>
        <v>1.6</v>
      </c>
    </row>
    <row r="140" spans="1:5" x14ac:dyDescent="0.25">
      <c r="A140" s="1"/>
      <c r="B140" s="1"/>
      <c r="C140" s="1"/>
      <c r="D140" s="1"/>
      <c r="E140" s="1">
        <f>SUM(E122:E139)</f>
        <v>759.39499999999987</v>
      </c>
    </row>
    <row r="143" spans="1:5" x14ac:dyDescent="0.25">
      <c r="D143" s="1" t="s">
        <v>109</v>
      </c>
      <c r="E143" s="1">
        <f>SUM(E60+E88+E101+E109+E140)</f>
        <v>1711.8395</v>
      </c>
    </row>
  </sheetData>
  <mergeCells count="5">
    <mergeCell ref="A1:E1"/>
    <mergeCell ref="A66:E66"/>
    <mergeCell ref="A91:E91"/>
    <mergeCell ref="A104:E104"/>
    <mergeCell ref="A120:E120"/>
  </mergeCells>
  <pageMargins left="0.7" right="0.7" top="0.75" bottom="0.75" header="0.3" footer="0.3"/>
  <pageSetup paperSize="9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479C39-4D96-45D0-8511-85992B9D19E1}">
  <dimension ref="A1:H255"/>
  <sheetViews>
    <sheetView topLeftCell="A217" zoomScale="120" zoomScaleNormal="120" workbookViewId="0">
      <selection activeCell="A238" sqref="A238"/>
    </sheetView>
  </sheetViews>
  <sheetFormatPr baseColWidth="10" defaultRowHeight="15" x14ac:dyDescent="0.25"/>
  <cols>
    <col min="1" max="1" width="45.5703125" customWidth="1"/>
    <col min="3" max="3" width="11.28515625" bestFit="1" customWidth="1"/>
  </cols>
  <sheetData>
    <row r="1" spans="1:8" ht="40.5" customHeight="1" x14ac:dyDescent="0.25">
      <c r="A1" s="23" t="s">
        <v>25</v>
      </c>
      <c r="B1" s="24"/>
      <c r="C1" s="24"/>
      <c r="D1" s="24"/>
      <c r="E1" s="25"/>
      <c r="F1" s="11"/>
      <c r="G1" s="12"/>
      <c r="H1" s="13"/>
    </row>
    <row r="2" spans="1:8" ht="17.25" customHeight="1" x14ac:dyDescent="0.25">
      <c r="A2" s="12" t="s">
        <v>0</v>
      </c>
      <c r="B2" s="12" t="s">
        <v>3</v>
      </c>
      <c r="C2" s="12" t="s">
        <v>56</v>
      </c>
      <c r="D2" s="12" t="s">
        <v>81</v>
      </c>
      <c r="E2" s="12" t="s">
        <v>1</v>
      </c>
      <c r="F2" s="12"/>
      <c r="G2" s="12"/>
      <c r="H2" s="13"/>
    </row>
    <row r="3" spans="1:8" x14ac:dyDescent="0.25">
      <c r="A3" s="14" t="s">
        <v>2</v>
      </c>
      <c r="B3" s="12">
        <v>50</v>
      </c>
      <c r="C3" s="12">
        <v>0.99</v>
      </c>
      <c r="D3" s="12" t="s">
        <v>121</v>
      </c>
      <c r="E3" s="12">
        <f t="shared" ref="E3:E41" si="0">B3*C3/100</f>
        <v>0.495</v>
      </c>
      <c r="F3" s="12"/>
      <c r="G3" s="12"/>
      <c r="H3" s="13"/>
    </row>
    <row r="4" spans="1:8" x14ac:dyDescent="0.25">
      <c r="A4" s="14" t="s">
        <v>4</v>
      </c>
      <c r="B4" s="12">
        <v>100</v>
      </c>
      <c r="C4" s="12">
        <v>1.05</v>
      </c>
      <c r="D4" s="12" t="s">
        <v>121</v>
      </c>
      <c r="E4" s="12">
        <f t="shared" si="0"/>
        <v>1.05</v>
      </c>
      <c r="F4" s="12"/>
      <c r="G4" s="12"/>
      <c r="H4" s="13"/>
    </row>
    <row r="5" spans="1:8" x14ac:dyDescent="0.25">
      <c r="A5" s="14" t="s">
        <v>5</v>
      </c>
      <c r="B5" s="12">
        <v>50</v>
      </c>
      <c r="C5" s="12">
        <v>1.05</v>
      </c>
      <c r="D5" s="12" t="s">
        <v>121</v>
      </c>
      <c r="E5" s="12">
        <f t="shared" si="0"/>
        <v>0.52500000000000002</v>
      </c>
      <c r="F5" s="12"/>
      <c r="G5" s="12"/>
      <c r="H5" s="13"/>
    </row>
    <row r="6" spans="1:8" x14ac:dyDescent="0.25">
      <c r="A6" s="14" t="s">
        <v>6</v>
      </c>
      <c r="B6" s="12">
        <v>25</v>
      </c>
      <c r="C6" s="12">
        <v>1.17</v>
      </c>
      <c r="D6" s="12" t="s">
        <v>121</v>
      </c>
      <c r="E6" s="12">
        <f t="shared" si="0"/>
        <v>0.29249999999999998</v>
      </c>
      <c r="F6" s="12"/>
      <c r="G6" s="12"/>
      <c r="H6" s="13"/>
    </row>
    <row r="7" spans="1:8" x14ac:dyDescent="0.25">
      <c r="A7" s="14" t="s">
        <v>7</v>
      </c>
      <c r="B7" s="12">
        <v>50</v>
      </c>
      <c r="C7" s="12">
        <v>1.23</v>
      </c>
      <c r="D7" s="12" t="s">
        <v>121</v>
      </c>
      <c r="E7" s="12">
        <f t="shared" si="0"/>
        <v>0.61499999999999999</v>
      </c>
      <c r="F7" s="12"/>
      <c r="G7" s="12"/>
      <c r="H7" s="13"/>
    </row>
    <row r="8" spans="1:8" x14ac:dyDescent="0.25">
      <c r="A8" s="14" t="s">
        <v>8</v>
      </c>
      <c r="B8" s="12">
        <v>65</v>
      </c>
      <c r="C8" s="12">
        <v>1.35</v>
      </c>
      <c r="D8" s="12" t="s">
        <v>121</v>
      </c>
      <c r="E8" s="12">
        <f t="shared" si="0"/>
        <v>0.87749999999999995</v>
      </c>
      <c r="F8" s="12"/>
      <c r="G8" s="12"/>
      <c r="H8" s="13"/>
    </row>
    <row r="9" spans="1:8" x14ac:dyDescent="0.25">
      <c r="A9" s="14" t="s">
        <v>9</v>
      </c>
      <c r="B9" s="12">
        <v>25</v>
      </c>
      <c r="C9" s="12">
        <v>1.81</v>
      </c>
      <c r="D9" s="12" t="s">
        <v>121</v>
      </c>
      <c r="E9" s="12">
        <f t="shared" si="0"/>
        <v>0.45250000000000001</v>
      </c>
      <c r="F9" s="12"/>
      <c r="G9" s="12"/>
      <c r="H9" s="13"/>
    </row>
    <row r="10" spans="1:8" x14ac:dyDescent="0.25">
      <c r="A10" s="14" t="s">
        <v>10</v>
      </c>
      <c r="B10" s="12">
        <v>40</v>
      </c>
      <c r="C10" s="12">
        <v>1.05</v>
      </c>
      <c r="D10" s="12" t="s">
        <v>121</v>
      </c>
      <c r="E10" s="12">
        <f t="shared" si="0"/>
        <v>0.42</v>
      </c>
      <c r="F10" s="12"/>
      <c r="G10" s="12"/>
      <c r="H10" s="13"/>
    </row>
    <row r="11" spans="1:8" x14ac:dyDescent="0.25">
      <c r="A11" s="14" t="s">
        <v>11</v>
      </c>
      <c r="B11" s="12">
        <v>150</v>
      </c>
      <c r="C11" s="12">
        <v>1.1000000000000001</v>
      </c>
      <c r="D11" s="12" t="s">
        <v>121</v>
      </c>
      <c r="E11" s="12">
        <f t="shared" si="0"/>
        <v>1.65</v>
      </c>
      <c r="F11" s="12"/>
      <c r="G11" s="12"/>
      <c r="H11" s="13"/>
    </row>
    <row r="12" spans="1:8" x14ac:dyDescent="0.25">
      <c r="A12" s="14" t="s">
        <v>12</v>
      </c>
      <c r="B12" s="12">
        <v>30</v>
      </c>
      <c r="C12" s="12">
        <v>1.17</v>
      </c>
      <c r="D12" s="12" t="s">
        <v>121</v>
      </c>
      <c r="E12" s="12">
        <f t="shared" si="0"/>
        <v>0.35099999999999992</v>
      </c>
      <c r="F12" s="12"/>
      <c r="G12" s="12"/>
      <c r="H12" s="13"/>
    </row>
    <row r="13" spans="1:8" x14ac:dyDescent="0.25">
      <c r="A13" s="14" t="s">
        <v>13</v>
      </c>
      <c r="B13" s="12">
        <v>50</v>
      </c>
      <c r="C13" s="12">
        <v>1.23</v>
      </c>
      <c r="D13" s="12" t="s">
        <v>121</v>
      </c>
      <c r="E13" s="12">
        <f t="shared" si="0"/>
        <v>0.61499999999999999</v>
      </c>
      <c r="F13" s="12"/>
      <c r="G13" s="12"/>
      <c r="H13" s="13"/>
    </row>
    <row r="14" spans="1:8" x14ac:dyDescent="0.25">
      <c r="A14" s="14" t="s">
        <v>14</v>
      </c>
      <c r="B14" s="12">
        <v>150</v>
      </c>
      <c r="C14" s="12">
        <v>2.3199999999999998</v>
      </c>
      <c r="D14" s="12" t="s">
        <v>121</v>
      </c>
      <c r="E14" s="12">
        <f t="shared" si="0"/>
        <v>3.48</v>
      </c>
      <c r="F14" s="12"/>
      <c r="G14" s="12"/>
      <c r="H14" s="13"/>
    </row>
    <row r="15" spans="1:8" x14ac:dyDescent="0.25">
      <c r="A15" s="14" t="s">
        <v>15</v>
      </c>
      <c r="B15" s="12">
        <v>150</v>
      </c>
      <c r="C15" s="12">
        <v>1.69</v>
      </c>
      <c r="D15" s="12" t="s">
        <v>121</v>
      </c>
      <c r="E15" s="12">
        <f t="shared" si="0"/>
        <v>2.5350000000000001</v>
      </c>
      <c r="F15" s="12"/>
      <c r="G15" s="12"/>
      <c r="H15" s="13"/>
    </row>
    <row r="16" spans="1:8" x14ac:dyDescent="0.25">
      <c r="A16" s="14" t="s">
        <v>16</v>
      </c>
      <c r="B16" s="12">
        <v>100</v>
      </c>
      <c r="C16" s="12">
        <v>3.76</v>
      </c>
      <c r="D16" s="12" t="s">
        <v>121</v>
      </c>
      <c r="E16" s="12">
        <f t="shared" si="0"/>
        <v>3.76</v>
      </c>
      <c r="F16" s="12"/>
      <c r="G16" s="12"/>
      <c r="H16" s="13"/>
    </row>
    <row r="17" spans="1:8" x14ac:dyDescent="0.25">
      <c r="A17" s="14" t="s">
        <v>17</v>
      </c>
      <c r="B17" s="12">
        <v>0</v>
      </c>
      <c r="C17" s="12">
        <v>1.17</v>
      </c>
      <c r="D17" s="12" t="s">
        <v>121</v>
      </c>
      <c r="E17" s="12">
        <f t="shared" si="0"/>
        <v>0</v>
      </c>
      <c r="F17" s="12"/>
      <c r="G17" s="12"/>
      <c r="H17" s="13"/>
    </row>
    <row r="18" spans="1:8" x14ac:dyDescent="0.25">
      <c r="A18" s="14" t="s">
        <v>18</v>
      </c>
      <c r="B18" s="12">
        <v>35</v>
      </c>
      <c r="C18" s="12">
        <v>1.23</v>
      </c>
      <c r="D18" s="12" t="s">
        <v>121</v>
      </c>
      <c r="E18" s="12">
        <f t="shared" si="0"/>
        <v>0.43049999999999999</v>
      </c>
      <c r="F18" s="12"/>
      <c r="G18" s="12"/>
      <c r="H18" s="13"/>
    </row>
    <row r="19" spans="1:8" x14ac:dyDescent="0.25">
      <c r="A19" s="14" t="s">
        <v>19</v>
      </c>
      <c r="B19" s="12">
        <v>150</v>
      </c>
      <c r="C19" s="12">
        <v>1.29</v>
      </c>
      <c r="D19" s="12" t="s">
        <v>121</v>
      </c>
      <c r="E19" s="12">
        <f t="shared" si="0"/>
        <v>1.9350000000000001</v>
      </c>
      <c r="F19" s="12"/>
      <c r="G19" s="12"/>
      <c r="H19" s="13"/>
    </row>
    <row r="20" spans="1:8" x14ac:dyDescent="0.25">
      <c r="A20" s="14" t="s">
        <v>20</v>
      </c>
      <c r="B20" s="12">
        <v>50</v>
      </c>
      <c r="C20" s="12">
        <v>1.53</v>
      </c>
      <c r="D20" s="12" t="s">
        <v>121</v>
      </c>
      <c r="E20" s="12">
        <f t="shared" si="0"/>
        <v>0.76500000000000001</v>
      </c>
      <c r="F20" s="12"/>
      <c r="G20" s="12"/>
      <c r="H20" s="13"/>
    </row>
    <row r="21" spans="1:8" x14ac:dyDescent="0.25">
      <c r="A21" s="14" t="s">
        <v>21</v>
      </c>
      <c r="B21" s="12">
        <v>150</v>
      </c>
      <c r="C21" s="12">
        <v>1.74</v>
      </c>
      <c r="D21" s="12" t="s">
        <v>121</v>
      </c>
      <c r="E21" s="12">
        <f t="shared" si="0"/>
        <v>2.61</v>
      </c>
      <c r="F21" s="12"/>
      <c r="G21" s="12"/>
      <c r="H21" s="13"/>
    </row>
    <row r="22" spans="1:8" x14ac:dyDescent="0.25">
      <c r="A22" s="14" t="s">
        <v>22</v>
      </c>
      <c r="B22" s="12">
        <v>50</v>
      </c>
      <c r="C22" s="12">
        <v>1.74</v>
      </c>
      <c r="D22" s="12" t="s">
        <v>121</v>
      </c>
      <c r="E22" s="12">
        <f t="shared" si="0"/>
        <v>0.87</v>
      </c>
      <c r="F22" s="12"/>
      <c r="G22" s="12"/>
      <c r="H22" s="13"/>
    </row>
    <row r="23" spans="1:8" x14ac:dyDescent="0.25">
      <c r="A23" s="14" t="s">
        <v>23</v>
      </c>
      <c r="B23" s="12">
        <v>25</v>
      </c>
      <c r="C23" s="12">
        <v>2.4500000000000002</v>
      </c>
      <c r="D23" s="12" t="s">
        <v>121</v>
      </c>
      <c r="E23" s="12">
        <f t="shared" si="0"/>
        <v>0.61250000000000004</v>
      </c>
      <c r="F23" s="12"/>
      <c r="G23" s="12"/>
      <c r="H23" s="13"/>
    </row>
    <row r="24" spans="1:8" x14ac:dyDescent="0.25">
      <c r="A24" s="14" t="s">
        <v>24</v>
      </c>
      <c r="B24" s="12">
        <v>65</v>
      </c>
      <c r="C24" s="12">
        <v>4.66</v>
      </c>
      <c r="D24" s="12" t="s">
        <v>121</v>
      </c>
      <c r="E24" s="12">
        <f t="shared" si="0"/>
        <v>3.0290000000000004</v>
      </c>
      <c r="F24" s="12"/>
      <c r="G24" s="12"/>
      <c r="H24" s="13"/>
    </row>
    <row r="25" spans="1:8" x14ac:dyDescent="0.25">
      <c r="A25" s="14" t="s">
        <v>26</v>
      </c>
      <c r="B25" s="12">
        <v>50</v>
      </c>
      <c r="C25" s="12">
        <v>2.12</v>
      </c>
      <c r="D25" s="12" t="s">
        <v>121</v>
      </c>
      <c r="E25" s="12">
        <f t="shared" si="0"/>
        <v>1.06</v>
      </c>
      <c r="F25" s="12"/>
      <c r="G25" s="12"/>
      <c r="H25" s="13"/>
    </row>
    <row r="26" spans="1:8" x14ac:dyDescent="0.25">
      <c r="A26" s="14" t="s">
        <v>27</v>
      </c>
      <c r="B26" s="12">
        <v>100</v>
      </c>
      <c r="C26" s="12">
        <v>2.12</v>
      </c>
      <c r="D26" s="12" t="s">
        <v>121</v>
      </c>
      <c r="E26" s="12">
        <f t="shared" si="0"/>
        <v>2.12</v>
      </c>
      <c r="F26" s="12"/>
      <c r="G26" s="12"/>
      <c r="H26" s="13"/>
    </row>
    <row r="27" spans="1:8" x14ac:dyDescent="0.25">
      <c r="A27" s="14" t="s">
        <v>28</v>
      </c>
      <c r="B27" s="12">
        <v>75</v>
      </c>
      <c r="C27" s="12">
        <v>2.12</v>
      </c>
      <c r="D27" s="12" t="s">
        <v>121</v>
      </c>
      <c r="E27" s="12">
        <f t="shared" si="0"/>
        <v>1.59</v>
      </c>
      <c r="F27" s="12"/>
      <c r="G27" s="12"/>
      <c r="H27" s="13"/>
    </row>
    <row r="28" spans="1:8" x14ac:dyDescent="0.25">
      <c r="A28" s="14" t="s">
        <v>29</v>
      </c>
      <c r="B28" s="12">
        <v>25</v>
      </c>
      <c r="C28" s="12">
        <v>2.19</v>
      </c>
      <c r="D28" s="12" t="s">
        <v>121</v>
      </c>
      <c r="E28" s="12">
        <f t="shared" si="0"/>
        <v>0.54749999999999999</v>
      </c>
      <c r="F28" s="12"/>
      <c r="G28" s="12"/>
      <c r="H28" s="13"/>
    </row>
    <row r="29" spans="1:8" x14ac:dyDescent="0.25">
      <c r="A29" s="14" t="s">
        <v>30</v>
      </c>
      <c r="B29" s="12">
        <v>75</v>
      </c>
      <c r="C29" s="12">
        <v>2.2599999999999998</v>
      </c>
      <c r="D29" s="12" t="s">
        <v>121</v>
      </c>
      <c r="E29" s="12">
        <f t="shared" si="0"/>
        <v>1.6949999999999996</v>
      </c>
      <c r="F29" s="12"/>
      <c r="G29" s="12"/>
      <c r="H29" s="13"/>
    </row>
    <row r="30" spans="1:8" x14ac:dyDescent="0.25">
      <c r="A30" s="14" t="s">
        <v>31</v>
      </c>
      <c r="B30" s="12">
        <v>50</v>
      </c>
      <c r="C30" s="12">
        <v>3.03</v>
      </c>
      <c r="D30" s="12" t="s">
        <v>121</v>
      </c>
      <c r="E30" s="12">
        <f t="shared" si="0"/>
        <v>1.5149999999999999</v>
      </c>
      <c r="F30" s="12"/>
      <c r="G30" s="12"/>
      <c r="H30" s="13"/>
    </row>
    <row r="31" spans="1:8" x14ac:dyDescent="0.25">
      <c r="A31" s="14" t="s">
        <v>32</v>
      </c>
      <c r="B31" s="12">
        <v>100</v>
      </c>
      <c r="C31" s="12">
        <v>3.15</v>
      </c>
      <c r="D31" s="12" t="s">
        <v>121</v>
      </c>
      <c r="E31" s="12">
        <f t="shared" si="0"/>
        <v>3.15</v>
      </c>
      <c r="F31" s="12"/>
      <c r="G31" s="12"/>
      <c r="H31" s="13"/>
    </row>
    <row r="32" spans="1:8" x14ac:dyDescent="0.25">
      <c r="A32" s="14" t="s">
        <v>33</v>
      </c>
      <c r="B32" s="12">
        <v>100</v>
      </c>
      <c r="C32" s="12">
        <v>3.7240000000000002</v>
      </c>
      <c r="D32" s="12" t="s">
        <v>121</v>
      </c>
      <c r="E32" s="12">
        <f t="shared" si="0"/>
        <v>3.7240000000000002</v>
      </c>
      <c r="F32" s="12"/>
      <c r="G32" s="12"/>
      <c r="H32" s="13"/>
    </row>
    <row r="33" spans="1:8" x14ac:dyDescent="0.25">
      <c r="A33" s="14" t="s">
        <v>34</v>
      </c>
      <c r="B33" s="12">
        <v>150</v>
      </c>
      <c r="C33" s="12">
        <v>3.92</v>
      </c>
      <c r="D33" s="12" t="s">
        <v>121</v>
      </c>
      <c r="E33" s="12">
        <f t="shared" si="0"/>
        <v>5.88</v>
      </c>
      <c r="F33" s="12"/>
      <c r="G33" s="12"/>
      <c r="H33" s="13"/>
    </row>
    <row r="34" spans="1:8" x14ac:dyDescent="0.25">
      <c r="A34" s="14" t="s">
        <v>35</v>
      </c>
      <c r="B34" s="12">
        <v>50</v>
      </c>
      <c r="C34" s="12">
        <v>4.2699999999999996</v>
      </c>
      <c r="D34" s="12" t="s">
        <v>121</v>
      </c>
      <c r="E34" s="12">
        <f t="shared" si="0"/>
        <v>2.1349999999999998</v>
      </c>
      <c r="F34" s="12"/>
      <c r="G34" s="12"/>
      <c r="H34" s="13"/>
    </row>
    <row r="35" spans="1:8" x14ac:dyDescent="0.25">
      <c r="A35" s="14" t="s">
        <v>36</v>
      </c>
      <c r="B35" s="12">
        <v>100</v>
      </c>
      <c r="C35" s="12">
        <v>5.46</v>
      </c>
      <c r="D35" s="12" t="s">
        <v>121</v>
      </c>
      <c r="E35" s="12">
        <f t="shared" si="0"/>
        <v>5.46</v>
      </c>
      <c r="F35" s="12"/>
      <c r="G35" s="12"/>
      <c r="H35" s="13"/>
    </row>
    <row r="36" spans="1:8" x14ac:dyDescent="0.25">
      <c r="A36" s="14" t="s">
        <v>118</v>
      </c>
      <c r="B36" s="12">
        <v>50</v>
      </c>
      <c r="C36" s="12">
        <v>5.66</v>
      </c>
      <c r="D36" s="12" t="s">
        <v>121</v>
      </c>
      <c r="E36" s="12">
        <f t="shared" si="0"/>
        <v>2.83</v>
      </c>
      <c r="F36" s="12"/>
      <c r="G36" s="12"/>
      <c r="H36" s="13"/>
    </row>
    <row r="37" spans="1:8" x14ac:dyDescent="0.25">
      <c r="A37" s="14" t="s">
        <v>37</v>
      </c>
      <c r="B37" s="12">
        <v>75</v>
      </c>
      <c r="C37" s="12">
        <v>8.41</v>
      </c>
      <c r="D37" s="12" t="s">
        <v>121</v>
      </c>
      <c r="E37" s="12">
        <f t="shared" si="0"/>
        <v>6.3075000000000001</v>
      </c>
      <c r="F37" s="12"/>
      <c r="G37" s="12"/>
      <c r="H37" s="13"/>
    </row>
    <row r="38" spans="1:8" x14ac:dyDescent="0.25">
      <c r="A38" s="14" t="s">
        <v>303</v>
      </c>
      <c r="B38" s="12">
        <v>450</v>
      </c>
      <c r="C38" s="12">
        <v>5.7759999999999998</v>
      </c>
      <c r="D38" s="12" t="s">
        <v>121</v>
      </c>
      <c r="E38" s="12">
        <f t="shared" si="0"/>
        <v>25.991999999999997</v>
      </c>
      <c r="F38" s="12">
        <v>338632</v>
      </c>
      <c r="G38" s="12"/>
      <c r="H38" s="13"/>
    </row>
    <row r="39" spans="1:8" x14ac:dyDescent="0.25">
      <c r="A39" s="14" t="s">
        <v>38</v>
      </c>
      <c r="B39" s="12">
        <v>200</v>
      </c>
      <c r="C39" s="12">
        <v>11.94</v>
      </c>
      <c r="D39" s="12" t="s">
        <v>121</v>
      </c>
      <c r="E39" s="12">
        <f t="shared" si="0"/>
        <v>23.88</v>
      </c>
      <c r="F39" s="12"/>
      <c r="G39" s="12"/>
      <c r="H39" s="13"/>
    </row>
    <row r="40" spans="1:8" x14ac:dyDescent="0.25">
      <c r="A40" s="14" t="s">
        <v>39</v>
      </c>
      <c r="B40" s="12">
        <v>250</v>
      </c>
      <c r="C40" s="12">
        <v>11.875</v>
      </c>
      <c r="D40" s="12" t="s">
        <v>121</v>
      </c>
      <c r="E40" s="12">
        <f t="shared" si="0"/>
        <v>29.6875</v>
      </c>
      <c r="F40" s="12"/>
      <c r="G40" s="12"/>
      <c r="H40" s="13"/>
    </row>
    <row r="41" spans="1:8" x14ac:dyDescent="0.25">
      <c r="A41" s="14" t="s">
        <v>133</v>
      </c>
      <c r="B41" s="12">
        <v>0</v>
      </c>
      <c r="C41" s="12">
        <v>21.71</v>
      </c>
      <c r="D41" s="12" t="s">
        <v>121</v>
      </c>
      <c r="E41" s="12">
        <f t="shared" si="0"/>
        <v>0</v>
      </c>
      <c r="F41" s="12"/>
      <c r="G41" s="12"/>
      <c r="H41" s="13"/>
    </row>
    <row r="42" spans="1:8" x14ac:dyDescent="0.25">
      <c r="A42" s="14" t="s">
        <v>119</v>
      </c>
      <c r="B42" s="12">
        <v>25</v>
      </c>
      <c r="C42" s="12">
        <v>35.24</v>
      </c>
      <c r="D42" s="12" t="s">
        <v>121</v>
      </c>
      <c r="E42" s="12">
        <f>B42*C42/100</f>
        <v>8.81</v>
      </c>
      <c r="F42" s="12"/>
      <c r="G42" s="12"/>
      <c r="H42" s="13"/>
    </row>
    <row r="43" spans="1:8" x14ac:dyDescent="0.25">
      <c r="A43" s="14" t="s">
        <v>44</v>
      </c>
      <c r="B43" s="12">
        <v>10</v>
      </c>
      <c r="C43" s="12">
        <v>35.24</v>
      </c>
      <c r="D43" s="12" t="s">
        <v>121</v>
      </c>
      <c r="E43" s="12">
        <f>B43*C43/100</f>
        <v>3.5240000000000005</v>
      </c>
      <c r="F43" s="12"/>
      <c r="G43" s="12"/>
      <c r="H43" s="13"/>
    </row>
    <row r="44" spans="1:8" x14ac:dyDescent="0.25">
      <c r="A44" s="14" t="s">
        <v>120</v>
      </c>
      <c r="B44" s="12">
        <v>80</v>
      </c>
      <c r="C44" s="12">
        <v>13.15</v>
      </c>
      <c r="D44" s="12" t="s">
        <v>121</v>
      </c>
      <c r="E44" s="12">
        <f>B44*C44/100</f>
        <v>10.52</v>
      </c>
      <c r="F44" s="12"/>
      <c r="G44" s="12"/>
      <c r="H44" s="13"/>
    </row>
    <row r="45" spans="1:8" x14ac:dyDescent="0.25">
      <c r="A45" s="14" t="s">
        <v>122</v>
      </c>
      <c r="B45" s="12">
        <v>65</v>
      </c>
      <c r="C45" s="12">
        <v>15.56</v>
      </c>
      <c r="D45" s="12" t="s">
        <v>121</v>
      </c>
      <c r="E45" s="12">
        <f t="shared" ref="E45:E47" si="1">B45*C45/100</f>
        <v>10.113999999999999</v>
      </c>
      <c r="F45" s="12"/>
      <c r="G45" s="12"/>
      <c r="H45" s="13"/>
    </row>
    <row r="46" spans="1:8" x14ac:dyDescent="0.25">
      <c r="A46" s="14" t="s">
        <v>123</v>
      </c>
      <c r="B46" s="12">
        <v>50</v>
      </c>
      <c r="C46" s="12">
        <v>28.44</v>
      </c>
      <c r="D46" s="12" t="s">
        <v>121</v>
      </c>
      <c r="E46" s="12">
        <f t="shared" si="1"/>
        <v>14.22</v>
      </c>
      <c r="F46" s="12"/>
      <c r="G46" s="12"/>
      <c r="H46" s="13"/>
    </row>
    <row r="47" spans="1:8" x14ac:dyDescent="0.25">
      <c r="A47" s="14" t="s">
        <v>124</v>
      </c>
      <c r="B47" s="12">
        <v>50</v>
      </c>
      <c r="C47" s="12">
        <v>10.54</v>
      </c>
      <c r="D47" s="12" t="s">
        <v>121</v>
      </c>
      <c r="E47" s="12">
        <f t="shared" si="1"/>
        <v>5.27</v>
      </c>
      <c r="F47" s="12"/>
      <c r="G47" s="12"/>
      <c r="H47" s="13"/>
    </row>
    <row r="48" spans="1:8" x14ac:dyDescent="0.25">
      <c r="A48" s="14" t="s">
        <v>125</v>
      </c>
      <c r="B48" s="12">
        <v>0</v>
      </c>
      <c r="C48" s="12">
        <v>0.67</v>
      </c>
      <c r="D48" s="12" t="s">
        <v>81</v>
      </c>
      <c r="E48" s="12">
        <f>B48*C48</f>
        <v>0</v>
      </c>
      <c r="F48" s="12"/>
      <c r="G48" s="12"/>
      <c r="H48" s="13"/>
    </row>
    <row r="49" spans="1:8" x14ac:dyDescent="0.25">
      <c r="A49" s="14" t="s">
        <v>135</v>
      </c>
      <c r="B49" s="12">
        <v>50</v>
      </c>
      <c r="C49" s="12"/>
      <c r="D49" s="12" t="s">
        <v>121</v>
      </c>
      <c r="E49" s="12">
        <f>B49*C49/100</f>
        <v>0</v>
      </c>
      <c r="F49" s="12"/>
      <c r="G49" s="12"/>
      <c r="H49" s="13"/>
    </row>
    <row r="50" spans="1:8" x14ac:dyDescent="0.25">
      <c r="A50" s="14" t="s">
        <v>47</v>
      </c>
      <c r="B50" s="12">
        <v>50</v>
      </c>
      <c r="C50" s="12">
        <v>2.1</v>
      </c>
      <c r="D50" s="12" t="s">
        <v>121</v>
      </c>
      <c r="E50" s="12">
        <f>B50*C50/100</f>
        <v>1.05</v>
      </c>
      <c r="F50" s="12"/>
      <c r="G50" s="12"/>
      <c r="H50" s="13"/>
    </row>
    <row r="51" spans="1:8" x14ac:dyDescent="0.25">
      <c r="A51" s="14" t="s">
        <v>40</v>
      </c>
      <c r="B51" s="12">
        <v>4.5</v>
      </c>
      <c r="C51" s="12">
        <v>5.056</v>
      </c>
      <c r="D51" s="12" t="s">
        <v>83</v>
      </c>
      <c r="E51" s="12">
        <v>25.28</v>
      </c>
      <c r="F51" s="12"/>
      <c r="G51" s="12"/>
      <c r="H51" s="13"/>
    </row>
    <row r="52" spans="1:8" x14ac:dyDescent="0.25">
      <c r="A52" s="14" t="s">
        <v>41</v>
      </c>
      <c r="B52" s="12">
        <v>0</v>
      </c>
      <c r="C52" s="12">
        <v>1.6739999999999999</v>
      </c>
      <c r="D52" s="12" t="s">
        <v>83</v>
      </c>
      <c r="E52" s="12">
        <v>1.6739999999999999</v>
      </c>
      <c r="F52" s="12"/>
      <c r="G52" s="12"/>
      <c r="H52" s="13"/>
    </row>
    <row r="53" spans="1:8" x14ac:dyDescent="0.25">
      <c r="A53" s="14" t="s">
        <v>42</v>
      </c>
      <c r="B53" s="12">
        <v>0</v>
      </c>
      <c r="C53" s="12">
        <v>0.1764</v>
      </c>
      <c r="D53" s="12" t="s">
        <v>81</v>
      </c>
      <c r="E53" s="12">
        <f>B53*C53</f>
        <v>0</v>
      </c>
      <c r="F53" s="12"/>
      <c r="G53" s="12"/>
      <c r="H53" s="13"/>
    </row>
    <row r="54" spans="1:8" x14ac:dyDescent="0.25">
      <c r="A54" s="14" t="s">
        <v>143</v>
      </c>
      <c r="B54" s="12">
        <v>0</v>
      </c>
      <c r="C54" s="12">
        <v>0.19620000000000001</v>
      </c>
      <c r="D54" s="12" t="s">
        <v>81</v>
      </c>
      <c r="E54" s="12">
        <f>B54*C54</f>
        <v>0</v>
      </c>
      <c r="F54" s="12"/>
      <c r="G54" s="12"/>
      <c r="H54" s="13"/>
    </row>
    <row r="55" spans="1:8" x14ac:dyDescent="0.25">
      <c r="A55" s="14" t="s">
        <v>43</v>
      </c>
      <c r="B55" s="12">
        <v>5</v>
      </c>
      <c r="C55" s="12">
        <v>0.30580000000000002</v>
      </c>
      <c r="D55" s="12" t="s">
        <v>81</v>
      </c>
      <c r="E55" s="12">
        <f>B55*C55</f>
        <v>1.5290000000000001</v>
      </c>
      <c r="F55" s="12"/>
      <c r="G55" s="12"/>
      <c r="H55" s="13"/>
    </row>
    <row r="56" spans="1:8" x14ac:dyDescent="0.25">
      <c r="A56" s="14" t="s">
        <v>51</v>
      </c>
      <c r="B56" s="12">
        <v>100</v>
      </c>
      <c r="C56" s="12">
        <v>4.0399999999999998E-2</v>
      </c>
      <c r="D56" s="12" t="s">
        <v>121</v>
      </c>
      <c r="E56" s="12">
        <f>B56*C56</f>
        <v>4.04</v>
      </c>
      <c r="F56" s="12"/>
      <c r="G56" s="12"/>
      <c r="H56" s="13"/>
    </row>
    <row r="57" spans="1:8" x14ac:dyDescent="0.25">
      <c r="A57" s="14" t="s">
        <v>50</v>
      </c>
      <c r="B57" s="12">
        <v>75</v>
      </c>
      <c r="C57" s="12">
        <v>4.6900000000000004</v>
      </c>
      <c r="D57" s="12" t="s">
        <v>121</v>
      </c>
      <c r="E57" s="12">
        <f>B57*C57/100</f>
        <v>3.5175000000000005</v>
      </c>
      <c r="F57" s="12"/>
      <c r="G57" s="12"/>
      <c r="H57" s="13"/>
    </row>
    <row r="58" spans="1:8" x14ac:dyDescent="0.25">
      <c r="A58" s="14" t="s">
        <v>140</v>
      </c>
      <c r="B58" s="12">
        <v>150</v>
      </c>
      <c r="C58" s="12">
        <v>7.44</v>
      </c>
      <c r="D58" s="12" t="s">
        <v>121</v>
      </c>
      <c r="E58" s="12">
        <f>B58*C58/100</f>
        <v>11.16</v>
      </c>
      <c r="F58" s="12"/>
      <c r="G58" s="12"/>
      <c r="H58" s="13"/>
    </row>
    <row r="59" spans="1:8" x14ac:dyDescent="0.25">
      <c r="A59" s="14" t="s">
        <v>49</v>
      </c>
      <c r="B59" s="12">
        <v>50</v>
      </c>
      <c r="C59" s="12">
        <v>3.1E-2</v>
      </c>
      <c r="D59" s="12" t="s">
        <v>81</v>
      </c>
      <c r="E59" s="12">
        <f>B59*C59</f>
        <v>1.55</v>
      </c>
      <c r="F59" s="12"/>
      <c r="G59" s="12"/>
      <c r="H59" s="13"/>
    </row>
    <row r="60" spans="1:8" x14ac:dyDescent="0.25">
      <c r="A60" s="14" t="s">
        <v>53</v>
      </c>
      <c r="B60" s="12">
        <v>10</v>
      </c>
      <c r="C60" s="12">
        <v>1.4</v>
      </c>
      <c r="D60" s="12" t="s">
        <v>84</v>
      </c>
      <c r="E60" s="12">
        <f>B60*C60</f>
        <v>14</v>
      </c>
      <c r="F60" s="12"/>
      <c r="G60" s="12"/>
      <c r="H60" s="13"/>
    </row>
    <row r="61" spans="1:8" x14ac:dyDescent="0.25">
      <c r="A61" s="14"/>
      <c r="B61" s="14"/>
      <c r="C61" s="14"/>
      <c r="D61" s="14"/>
      <c r="E61" s="14">
        <f>SUM(E3:E60)</f>
        <v>261.20250000000004</v>
      </c>
      <c r="F61" s="12"/>
      <c r="G61" s="12"/>
      <c r="H61" s="13"/>
    </row>
    <row r="62" spans="1:8" x14ac:dyDescent="0.25">
      <c r="A62" s="13"/>
      <c r="B62" s="13"/>
      <c r="C62" s="13"/>
      <c r="D62" s="13"/>
      <c r="E62" s="13"/>
      <c r="F62" s="13"/>
      <c r="G62" s="13"/>
      <c r="H62" s="13"/>
    </row>
    <row r="63" spans="1:8" x14ac:dyDescent="0.25">
      <c r="A63" s="13"/>
      <c r="B63" s="13"/>
      <c r="C63" s="13"/>
      <c r="D63" s="13"/>
      <c r="E63" s="13"/>
      <c r="F63" s="13"/>
      <c r="G63" s="13"/>
      <c r="H63" s="13"/>
    </row>
    <row r="64" spans="1:8" x14ac:dyDescent="0.25">
      <c r="A64" s="13"/>
      <c r="B64" s="13"/>
      <c r="C64" s="13"/>
      <c r="D64" s="13"/>
      <c r="E64" s="13"/>
      <c r="F64" s="13"/>
      <c r="G64" s="13"/>
      <c r="H64" s="13"/>
    </row>
    <row r="65" spans="1:8" x14ac:dyDescent="0.25">
      <c r="A65" s="13"/>
      <c r="B65" s="13"/>
      <c r="C65" s="13"/>
      <c r="D65" s="13"/>
      <c r="E65" s="13"/>
      <c r="F65" s="13"/>
      <c r="G65" s="13"/>
      <c r="H65" s="13"/>
    </row>
    <row r="66" spans="1:8" x14ac:dyDescent="0.25">
      <c r="A66" s="13"/>
      <c r="B66" s="13"/>
      <c r="C66" s="13"/>
      <c r="D66" s="13"/>
      <c r="E66" s="13"/>
      <c r="F66" s="13"/>
      <c r="G66" s="13"/>
      <c r="H66" s="13"/>
    </row>
    <row r="67" spans="1:8" ht="30" x14ac:dyDescent="0.25">
      <c r="A67" s="23" t="s">
        <v>54</v>
      </c>
      <c r="B67" s="24"/>
      <c r="C67" s="24"/>
      <c r="D67" s="24"/>
      <c r="E67" s="25"/>
      <c r="F67" s="15" t="s">
        <v>291</v>
      </c>
      <c r="G67" s="15" t="s">
        <v>292</v>
      </c>
      <c r="H67" s="13"/>
    </row>
    <row r="68" spans="1:8" x14ac:dyDescent="0.25">
      <c r="A68" s="12" t="s">
        <v>0</v>
      </c>
      <c r="B68" s="12" t="s">
        <v>3</v>
      </c>
      <c r="C68" s="12" t="s">
        <v>56</v>
      </c>
      <c r="D68" s="12" t="s">
        <v>81</v>
      </c>
      <c r="E68" s="12" t="s">
        <v>1</v>
      </c>
      <c r="F68" s="12"/>
      <c r="G68" s="12"/>
      <c r="H68" s="13"/>
    </row>
    <row r="69" spans="1:8" x14ac:dyDescent="0.25">
      <c r="A69" s="14" t="s">
        <v>286</v>
      </c>
      <c r="B69" s="12">
        <v>0</v>
      </c>
      <c r="C69" s="12">
        <v>2.92</v>
      </c>
      <c r="D69" s="12" t="s">
        <v>82</v>
      </c>
      <c r="E69" s="12">
        <f>B69*C69</f>
        <v>0</v>
      </c>
      <c r="F69" s="12"/>
      <c r="G69" s="12"/>
      <c r="H69" s="13"/>
    </row>
    <row r="70" spans="1:8" x14ac:dyDescent="0.25">
      <c r="A70" s="14" t="s">
        <v>102</v>
      </c>
      <c r="B70" s="12">
        <v>2</v>
      </c>
      <c r="C70" s="12">
        <v>2.92</v>
      </c>
      <c r="D70" s="12" t="s">
        <v>82</v>
      </c>
      <c r="E70" s="12">
        <f>B70*C70</f>
        <v>5.84</v>
      </c>
      <c r="F70" s="12"/>
      <c r="G70" s="12"/>
      <c r="H70" s="13"/>
    </row>
    <row r="71" spans="1:8" x14ac:dyDescent="0.25">
      <c r="A71" s="14" t="s">
        <v>103</v>
      </c>
      <c r="B71" s="12">
        <v>0</v>
      </c>
      <c r="C71" s="12">
        <v>2.76</v>
      </c>
      <c r="D71" s="12" t="s">
        <v>82</v>
      </c>
      <c r="E71" s="12">
        <f t="shared" ref="E71:E88" si="2">B71*C71</f>
        <v>0</v>
      </c>
      <c r="F71" s="12"/>
      <c r="G71" s="12"/>
      <c r="H71" s="13"/>
    </row>
    <row r="72" spans="1:8" x14ac:dyDescent="0.25">
      <c r="A72" s="14" t="s">
        <v>104</v>
      </c>
      <c r="B72" s="12">
        <v>2</v>
      </c>
      <c r="C72" s="12">
        <v>2.64</v>
      </c>
      <c r="D72" s="12" t="s">
        <v>82</v>
      </c>
      <c r="E72" s="12">
        <f t="shared" si="2"/>
        <v>5.28</v>
      </c>
      <c r="F72" s="12"/>
      <c r="G72" s="12"/>
      <c r="H72" s="13"/>
    </row>
    <row r="73" spans="1:8" x14ac:dyDescent="0.25">
      <c r="A73" s="14" t="s">
        <v>105</v>
      </c>
      <c r="B73" s="12">
        <v>2</v>
      </c>
      <c r="C73" s="12">
        <v>2.64</v>
      </c>
      <c r="D73" s="12" t="s">
        <v>82</v>
      </c>
      <c r="E73" s="12">
        <f t="shared" si="2"/>
        <v>5.28</v>
      </c>
      <c r="F73" s="12"/>
      <c r="G73" s="12"/>
      <c r="H73" s="13"/>
    </row>
    <row r="74" spans="1:8" x14ac:dyDescent="0.25">
      <c r="A74" s="14" t="s">
        <v>360</v>
      </c>
      <c r="B74" s="12">
        <v>14</v>
      </c>
      <c r="C74" s="12">
        <v>25.72</v>
      </c>
      <c r="D74" s="12" t="s">
        <v>369</v>
      </c>
      <c r="E74" s="12">
        <f>B74*C74/50</f>
        <v>7.2016</v>
      </c>
      <c r="F74" s="12">
        <v>366657</v>
      </c>
      <c r="G74" s="12"/>
      <c r="H74" s="13"/>
    </row>
    <row r="75" spans="1:8" x14ac:dyDescent="0.25">
      <c r="A75" s="14" t="s">
        <v>287</v>
      </c>
      <c r="B75" s="12">
        <v>14</v>
      </c>
      <c r="C75" s="12">
        <v>52.57</v>
      </c>
      <c r="D75" s="12" t="s">
        <v>370</v>
      </c>
      <c r="E75" s="12">
        <f>B75*C75/100</f>
        <v>7.3597999999999999</v>
      </c>
      <c r="F75" s="12">
        <v>366671</v>
      </c>
      <c r="G75" s="12"/>
      <c r="H75" s="13"/>
    </row>
    <row r="76" spans="1:8" x14ac:dyDescent="0.25">
      <c r="A76" s="14" t="s">
        <v>60</v>
      </c>
      <c r="B76" s="12">
        <v>42</v>
      </c>
      <c r="C76" s="12">
        <v>53.57</v>
      </c>
      <c r="D76" s="12" t="s">
        <v>370</v>
      </c>
      <c r="E76" s="12">
        <f>B76*C76/100</f>
        <v>22.499400000000001</v>
      </c>
      <c r="F76" s="12">
        <v>367812</v>
      </c>
      <c r="G76" s="12"/>
      <c r="H76" s="13"/>
    </row>
    <row r="77" spans="1:8" x14ac:dyDescent="0.25">
      <c r="A77" s="14" t="s">
        <v>361</v>
      </c>
      <c r="B77" s="12">
        <v>4</v>
      </c>
      <c r="C77" s="12">
        <v>52.94</v>
      </c>
      <c r="D77" s="12" t="s">
        <v>371</v>
      </c>
      <c r="E77" s="12">
        <f>B77*C77/25</f>
        <v>8.4703999999999997</v>
      </c>
      <c r="F77" s="12">
        <v>391793</v>
      </c>
      <c r="G77" s="12"/>
      <c r="H77" s="13"/>
    </row>
    <row r="78" spans="1:8" x14ac:dyDescent="0.25">
      <c r="A78" s="14" t="s">
        <v>368</v>
      </c>
      <c r="B78" s="12">
        <v>12</v>
      </c>
      <c r="C78" s="12">
        <v>45.47</v>
      </c>
      <c r="D78" s="12" t="s">
        <v>369</v>
      </c>
      <c r="E78" s="12">
        <f>B78*C78/50</f>
        <v>10.912799999999999</v>
      </c>
      <c r="F78" s="12">
        <v>384751</v>
      </c>
      <c r="G78" s="12"/>
      <c r="H78" s="13"/>
    </row>
    <row r="79" spans="1:8" x14ac:dyDescent="0.25">
      <c r="A79" s="14" t="s">
        <v>362</v>
      </c>
      <c r="B79" s="12">
        <v>29</v>
      </c>
      <c r="C79" s="12">
        <v>45.11</v>
      </c>
      <c r="D79" s="12" t="s">
        <v>369</v>
      </c>
      <c r="E79" s="12">
        <f t="shared" ref="E79:E81" si="3">B79*C79/50</f>
        <v>26.163800000000002</v>
      </c>
      <c r="F79" s="12">
        <v>384758</v>
      </c>
      <c r="G79" s="12"/>
      <c r="H79" s="13"/>
    </row>
    <row r="80" spans="1:8" x14ac:dyDescent="0.25">
      <c r="A80" s="14" t="s">
        <v>363</v>
      </c>
      <c r="B80" s="12">
        <v>78</v>
      </c>
      <c r="C80" s="12">
        <v>45.11</v>
      </c>
      <c r="D80" s="12" t="s">
        <v>369</v>
      </c>
      <c r="E80" s="12">
        <f t="shared" si="3"/>
        <v>70.371600000000001</v>
      </c>
      <c r="F80" s="12">
        <v>384772</v>
      </c>
      <c r="G80" s="12"/>
      <c r="H80" s="13"/>
    </row>
    <row r="81" spans="1:8" x14ac:dyDescent="0.25">
      <c r="A81" s="14" t="s">
        <v>364</v>
      </c>
      <c r="B81" s="12">
        <v>50</v>
      </c>
      <c r="C81" s="12">
        <v>44.9</v>
      </c>
      <c r="D81" s="12" t="s">
        <v>369</v>
      </c>
      <c r="E81" s="12">
        <f t="shared" si="3"/>
        <v>44.9</v>
      </c>
      <c r="F81" s="12">
        <v>356729</v>
      </c>
      <c r="G81" s="12"/>
      <c r="H81" s="13"/>
    </row>
    <row r="82" spans="1:8" x14ac:dyDescent="0.25">
      <c r="A82" s="14" t="s">
        <v>365</v>
      </c>
      <c r="B82" s="12">
        <v>40</v>
      </c>
      <c r="C82" s="12">
        <v>94.48</v>
      </c>
      <c r="D82" s="12" t="s">
        <v>370</v>
      </c>
      <c r="E82" s="12">
        <f>B82*C82/100</f>
        <v>37.792000000000002</v>
      </c>
      <c r="F82" s="12">
        <v>370104</v>
      </c>
      <c r="G82" s="12"/>
      <c r="H82" s="13"/>
    </row>
    <row r="83" spans="1:8" x14ac:dyDescent="0.25">
      <c r="A83" s="14" t="s">
        <v>366</v>
      </c>
      <c r="B83" s="12">
        <v>45</v>
      </c>
      <c r="C83" s="12">
        <v>94.48</v>
      </c>
      <c r="D83" s="12" t="s">
        <v>370</v>
      </c>
      <c r="E83" s="12">
        <f>B83*C83/100</f>
        <v>42.516000000000005</v>
      </c>
      <c r="F83" s="12">
        <v>370111</v>
      </c>
      <c r="G83" s="12"/>
      <c r="H83" s="13"/>
    </row>
    <row r="84" spans="1:8" x14ac:dyDescent="0.25">
      <c r="A84" s="14" t="s">
        <v>367</v>
      </c>
      <c r="B84" s="12">
        <v>51</v>
      </c>
      <c r="C84" s="12">
        <v>94.48</v>
      </c>
      <c r="D84" s="12" t="s">
        <v>370</v>
      </c>
      <c r="E84" s="12">
        <f>B84*C84/100</f>
        <v>48.184800000000003</v>
      </c>
      <c r="F84" s="12">
        <v>370118</v>
      </c>
      <c r="G84" s="12"/>
      <c r="H84" s="13"/>
    </row>
    <row r="85" spans="1:8" x14ac:dyDescent="0.25">
      <c r="A85" s="14" t="s">
        <v>372</v>
      </c>
      <c r="B85" s="12">
        <v>4</v>
      </c>
      <c r="C85" s="12">
        <v>23.89</v>
      </c>
      <c r="D85" s="12" t="s">
        <v>82</v>
      </c>
      <c r="E85" s="12">
        <f t="shared" si="2"/>
        <v>95.56</v>
      </c>
      <c r="F85" s="12">
        <v>368928</v>
      </c>
      <c r="G85" s="12"/>
      <c r="H85" s="13"/>
    </row>
    <row r="86" spans="1:8" x14ac:dyDescent="0.25">
      <c r="A86" s="14" t="s">
        <v>57</v>
      </c>
      <c r="B86" s="12">
        <v>1</v>
      </c>
      <c r="C86" s="12">
        <v>19.55</v>
      </c>
      <c r="D86" s="12" t="s">
        <v>373</v>
      </c>
      <c r="E86" s="12">
        <f t="shared" si="2"/>
        <v>19.55</v>
      </c>
      <c r="F86" s="12">
        <v>408254</v>
      </c>
      <c r="G86" s="12"/>
      <c r="H86" s="13"/>
    </row>
    <row r="87" spans="1:8" x14ac:dyDescent="0.25">
      <c r="A87" s="14" t="s">
        <v>145</v>
      </c>
      <c r="B87" s="12">
        <v>6</v>
      </c>
      <c r="C87" s="12">
        <v>3.726</v>
      </c>
      <c r="D87" s="12" t="s">
        <v>85</v>
      </c>
      <c r="E87" s="12">
        <f t="shared" si="2"/>
        <v>22.356000000000002</v>
      </c>
      <c r="F87" s="16">
        <v>436716</v>
      </c>
      <c r="G87" s="12"/>
      <c r="H87" s="13"/>
    </row>
    <row r="88" spans="1:8" x14ac:dyDescent="0.25">
      <c r="A88" s="14" t="s">
        <v>146</v>
      </c>
      <c r="B88" s="12">
        <v>6</v>
      </c>
      <c r="C88" s="12">
        <v>4.0350000000000001</v>
      </c>
      <c r="D88" s="12" t="s">
        <v>85</v>
      </c>
      <c r="E88" s="12">
        <f t="shared" si="2"/>
        <v>24.21</v>
      </c>
      <c r="F88" s="12">
        <v>438361</v>
      </c>
      <c r="G88" s="12"/>
      <c r="H88" s="13"/>
    </row>
    <row r="89" spans="1:8" x14ac:dyDescent="0.25">
      <c r="A89" s="17" t="s">
        <v>75</v>
      </c>
      <c r="B89" s="18">
        <v>400</v>
      </c>
      <c r="C89" s="19">
        <v>68.44</v>
      </c>
      <c r="D89" s="19" t="s">
        <v>152</v>
      </c>
      <c r="E89" s="19">
        <f>B89*C89/1000</f>
        <v>27.376000000000001</v>
      </c>
      <c r="F89" s="12">
        <v>110502</v>
      </c>
      <c r="G89" s="12"/>
      <c r="H89" s="13"/>
    </row>
    <row r="90" spans="1:8" x14ac:dyDescent="0.25">
      <c r="A90" s="17" t="s">
        <v>148</v>
      </c>
      <c r="B90" s="12">
        <v>100</v>
      </c>
      <c r="C90" s="12">
        <v>66.010000000000005</v>
      </c>
      <c r="D90" s="19" t="s">
        <v>152</v>
      </c>
      <c r="E90" s="19">
        <f>B90*C90/1000</f>
        <v>6.6010000000000009</v>
      </c>
      <c r="F90" s="12">
        <v>110495</v>
      </c>
      <c r="G90" s="12"/>
      <c r="H90" s="13"/>
    </row>
    <row r="91" spans="1:8" x14ac:dyDescent="0.25">
      <c r="A91" s="17" t="s">
        <v>149</v>
      </c>
      <c r="B91" s="12">
        <v>400</v>
      </c>
      <c r="C91" s="12">
        <v>62.63</v>
      </c>
      <c r="D91" s="19" t="s">
        <v>152</v>
      </c>
      <c r="E91" s="19">
        <f t="shared" ref="E91:E93" si="4">B91*C91/1000</f>
        <v>25.052</v>
      </c>
      <c r="F91" s="12">
        <v>110488</v>
      </c>
      <c r="G91" s="12"/>
      <c r="H91" s="13"/>
    </row>
    <row r="92" spans="1:8" x14ac:dyDescent="0.25">
      <c r="A92" s="17" t="s">
        <v>150</v>
      </c>
      <c r="B92" s="12">
        <v>200</v>
      </c>
      <c r="C92" s="12">
        <v>60.79</v>
      </c>
      <c r="D92" s="19" t="s">
        <v>152</v>
      </c>
      <c r="E92" s="19">
        <f t="shared" si="4"/>
        <v>12.157999999999999</v>
      </c>
      <c r="F92" s="12">
        <v>110481</v>
      </c>
      <c r="G92" s="12"/>
      <c r="H92" s="13"/>
    </row>
    <row r="93" spans="1:8" x14ac:dyDescent="0.25">
      <c r="A93" s="14" t="s">
        <v>76</v>
      </c>
      <c r="B93" s="12">
        <v>150</v>
      </c>
      <c r="C93" s="12">
        <v>51.94</v>
      </c>
      <c r="D93" s="19" t="s">
        <v>152</v>
      </c>
      <c r="E93" s="19">
        <f t="shared" si="4"/>
        <v>7.7910000000000004</v>
      </c>
      <c r="F93" s="12">
        <v>110474</v>
      </c>
      <c r="G93" s="12"/>
      <c r="H93" s="13"/>
    </row>
    <row r="94" spans="1:8" x14ac:dyDescent="0.25">
      <c r="A94" s="14" t="s">
        <v>153</v>
      </c>
      <c r="B94" s="12">
        <v>3</v>
      </c>
      <c r="C94" s="12">
        <v>6.29</v>
      </c>
      <c r="D94" s="12" t="s">
        <v>203</v>
      </c>
      <c r="E94" s="19">
        <f t="shared" ref="E94:E96" si="5">B94*C94</f>
        <v>18.87</v>
      </c>
      <c r="F94" s="12"/>
      <c r="G94" s="12"/>
      <c r="H94" s="13"/>
    </row>
    <row r="95" spans="1:8" x14ac:dyDescent="0.25">
      <c r="A95" s="14" t="s">
        <v>359</v>
      </c>
      <c r="B95" s="12">
        <v>1000</v>
      </c>
      <c r="C95" s="12"/>
      <c r="D95" s="12"/>
      <c r="E95" s="19">
        <f t="shared" si="5"/>
        <v>0</v>
      </c>
      <c r="F95" s="12"/>
      <c r="G95" s="12"/>
      <c r="H95" s="13"/>
    </row>
    <row r="96" spans="1:8" x14ac:dyDescent="0.25">
      <c r="A96" s="14" t="s">
        <v>301</v>
      </c>
      <c r="B96" s="12">
        <v>2</v>
      </c>
      <c r="C96" s="12">
        <v>5.25</v>
      </c>
      <c r="D96" s="12" t="s">
        <v>81</v>
      </c>
      <c r="E96" s="19">
        <f t="shared" si="5"/>
        <v>10.5</v>
      </c>
      <c r="F96" s="12">
        <v>44829</v>
      </c>
      <c r="G96" s="12"/>
      <c r="H96" s="13"/>
    </row>
    <row r="97" spans="1:8" x14ac:dyDescent="0.25">
      <c r="A97" s="14"/>
      <c r="B97" s="12"/>
      <c r="C97" s="12"/>
      <c r="D97" s="12"/>
      <c r="E97" s="12">
        <f>SUM(E69:E96)</f>
        <v>612.79620000000011</v>
      </c>
      <c r="F97" s="12"/>
      <c r="G97" s="12"/>
      <c r="H97" s="13"/>
    </row>
    <row r="98" spans="1:8" x14ac:dyDescent="0.25">
      <c r="A98" s="13"/>
      <c r="B98" s="13"/>
      <c r="C98" s="13"/>
      <c r="D98" s="13"/>
      <c r="E98" s="13"/>
      <c r="F98" s="13"/>
      <c r="G98" s="13"/>
      <c r="H98" s="13"/>
    </row>
    <row r="99" spans="1:8" x14ac:dyDescent="0.25">
      <c r="A99" s="13"/>
      <c r="B99" s="13"/>
      <c r="C99" s="13"/>
      <c r="D99" s="13"/>
      <c r="E99" s="13"/>
      <c r="F99" s="13"/>
      <c r="G99" s="13"/>
      <c r="H99" s="13"/>
    </row>
    <row r="100" spans="1:8" ht="30" x14ac:dyDescent="0.25">
      <c r="A100" s="23" t="s">
        <v>55</v>
      </c>
      <c r="B100" s="24"/>
      <c r="C100" s="24"/>
      <c r="D100" s="24"/>
      <c r="E100" s="25"/>
      <c r="F100" s="15" t="s">
        <v>291</v>
      </c>
      <c r="G100" s="15" t="s">
        <v>292</v>
      </c>
      <c r="H100" s="13"/>
    </row>
    <row r="101" spans="1:8" x14ac:dyDescent="0.25">
      <c r="A101" s="12" t="s">
        <v>0</v>
      </c>
      <c r="B101" s="12" t="s">
        <v>3</v>
      </c>
      <c r="C101" s="12" t="s">
        <v>56</v>
      </c>
      <c r="D101" s="12" t="s">
        <v>81</v>
      </c>
      <c r="E101" s="12" t="s">
        <v>1</v>
      </c>
      <c r="F101" s="12"/>
      <c r="G101" s="12"/>
      <c r="H101" s="13"/>
    </row>
    <row r="102" spans="1:8" x14ac:dyDescent="0.25">
      <c r="A102" s="14" t="s">
        <v>62</v>
      </c>
      <c r="B102" s="12">
        <v>4</v>
      </c>
      <c r="C102" s="12">
        <v>11.64</v>
      </c>
      <c r="D102" s="12" t="s">
        <v>87</v>
      </c>
      <c r="E102" s="12">
        <f t="shared" ref="E102:E110" si="6">B102*C102</f>
        <v>46.56</v>
      </c>
      <c r="F102" s="12">
        <v>429954</v>
      </c>
      <c r="G102" s="12"/>
      <c r="H102" s="13"/>
    </row>
    <row r="103" spans="1:8" x14ac:dyDescent="0.25">
      <c r="A103" s="14" t="s">
        <v>285</v>
      </c>
      <c r="B103" s="12">
        <v>0</v>
      </c>
      <c r="C103" s="12">
        <v>4</v>
      </c>
      <c r="D103" s="12" t="s">
        <v>87</v>
      </c>
      <c r="E103" s="12">
        <f t="shared" si="6"/>
        <v>0</v>
      </c>
      <c r="F103" s="12"/>
      <c r="G103" s="12"/>
      <c r="H103" s="13"/>
    </row>
    <row r="104" spans="1:8" x14ac:dyDescent="0.25">
      <c r="A104" s="14" t="s">
        <v>64</v>
      </c>
      <c r="B104" s="12">
        <v>0</v>
      </c>
      <c r="C104" s="12">
        <v>3.34</v>
      </c>
      <c r="D104" s="12" t="s">
        <v>87</v>
      </c>
      <c r="E104" s="12">
        <f t="shared" si="6"/>
        <v>0</v>
      </c>
      <c r="F104" s="12"/>
      <c r="G104" s="12"/>
      <c r="H104" s="13"/>
    </row>
    <row r="105" spans="1:8" x14ac:dyDescent="0.25">
      <c r="A105" s="14" t="s">
        <v>290</v>
      </c>
      <c r="B105" s="12">
        <v>17</v>
      </c>
      <c r="C105" s="12">
        <v>2.95</v>
      </c>
      <c r="D105" s="12" t="s">
        <v>87</v>
      </c>
      <c r="E105" s="12">
        <f t="shared" si="6"/>
        <v>50.150000000000006</v>
      </c>
      <c r="F105" s="12">
        <v>446341</v>
      </c>
      <c r="G105" s="12"/>
      <c r="H105" s="13"/>
    </row>
    <row r="106" spans="1:8" x14ac:dyDescent="0.25">
      <c r="A106" s="14" t="s">
        <v>161</v>
      </c>
      <c r="B106" s="12">
        <v>2</v>
      </c>
      <c r="C106" s="12">
        <v>1.99</v>
      </c>
      <c r="D106" s="12" t="s">
        <v>87</v>
      </c>
      <c r="E106" s="12">
        <f t="shared" si="6"/>
        <v>3.98</v>
      </c>
      <c r="F106" s="16">
        <v>438473</v>
      </c>
      <c r="G106" s="12"/>
      <c r="H106" s="13"/>
    </row>
    <row r="107" spans="1:8" x14ac:dyDescent="0.25">
      <c r="A107" s="14" t="s">
        <v>167</v>
      </c>
      <c r="B107" s="12">
        <v>1</v>
      </c>
      <c r="C107" s="12">
        <v>50.44</v>
      </c>
      <c r="D107" s="12" t="s">
        <v>83</v>
      </c>
      <c r="E107" s="12">
        <f t="shared" si="6"/>
        <v>50.44</v>
      </c>
      <c r="F107" s="12"/>
      <c r="G107" s="12"/>
      <c r="H107" s="13"/>
    </row>
    <row r="108" spans="1:8" x14ac:dyDescent="0.25">
      <c r="A108" s="14" t="s">
        <v>168</v>
      </c>
      <c r="B108" s="12">
        <v>0</v>
      </c>
      <c r="C108" s="12">
        <v>1</v>
      </c>
      <c r="D108" s="12" t="s">
        <v>83</v>
      </c>
      <c r="E108" s="12">
        <f t="shared" si="6"/>
        <v>0</v>
      </c>
      <c r="F108" s="12"/>
      <c r="G108" s="12"/>
      <c r="H108" s="13"/>
    </row>
    <row r="109" spans="1:8" x14ac:dyDescent="0.25">
      <c r="A109" s="14" t="s">
        <v>169</v>
      </c>
      <c r="B109" s="12">
        <v>1</v>
      </c>
      <c r="C109" s="12">
        <v>20.11</v>
      </c>
      <c r="D109" s="12" t="s">
        <v>170</v>
      </c>
      <c r="E109" s="12">
        <f t="shared" si="6"/>
        <v>20.11</v>
      </c>
      <c r="F109" s="12"/>
      <c r="G109" s="12"/>
      <c r="H109" s="13"/>
    </row>
    <row r="110" spans="1:8" x14ac:dyDescent="0.25">
      <c r="A110" s="14" t="s">
        <v>171</v>
      </c>
      <c r="B110" s="12">
        <v>1</v>
      </c>
      <c r="C110" s="12">
        <v>17.3</v>
      </c>
      <c r="D110" s="12" t="s">
        <v>86</v>
      </c>
      <c r="E110" s="12">
        <f t="shared" si="6"/>
        <v>17.3</v>
      </c>
      <c r="F110" s="12"/>
      <c r="G110" s="12"/>
      <c r="H110" s="13"/>
    </row>
    <row r="111" spans="1:8" x14ac:dyDescent="0.25">
      <c r="A111" s="14"/>
      <c r="B111" s="14"/>
      <c r="C111" s="14"/>
      <c r="D111" s="14"/>
      <c r="E111" s="14">
        <f>SUM(E102:E110)</f>
        <v>188.54000000000002</v>
      </c>
      <c r="F111" s="12"/>
      <c r="G111" s="12"/>
      <c r="H111" s="13"/>
    </row>
    <row r="112" spans="1:8" x14ac:dyDescent="0.25">
      <c r="A112" s="13"/>
      <c r="B112" s="13"/>
      <c r="C112" s="13"/>
      <c r="D112" s="13"/>
      <c r="E112" s="13"/>
      <c r="F112" s="13"/>
      <c r="G112" s="13"/>
      <c r="H112" s="13"/>
    </row>
    <row r="113" spans="1:8" x14ac:dyDescent="0.25">
      <c r="A113" s="13"/>
      <c r="B113" s="13"/>
      <c r="C113" s="13"/>
      <c r="D113" s="13"/>
      <c r="E113" s="13"/>
      <c r="F113" s="13"/>
      <c r="G113" s="13"/>
      <c r="H113" s="13"/>
    </row>
    <row r="114" spans="1:8" ht="26.25" x14ac:dyDescent="0.25">
      <c r="A114" s="23" t="s">
        <v>172</v>
      </c>
      <c r="B114" s="24"/>
      <c r="C114" s="24"/>
      <c r="D114" s="24"/>
      <c r="E114" s="25"/>
      <c r="F114" s="13"/>
      <c r="G114" s="13"/>
      <c r="H114" s="13"/>
    </row>
    <row r="115" spans="1:8" x14ac:dyDescent="0.25">
      <c r="A115" s="12" t="s">
        <v>0</v>
      </c>
      <c r="B115" s="12" t="s">
        <v>3</v>
      </c>
      <c r="C115" s="12" t="s">
        <v>56</v>
      </c>
      <c r="D115" s="12" t="s">
        <v>81</v>
      </c>
      <c r="E115" s="12" t="s">
        <v>1</v>
      </c>
      <c r="F115" s="13"/>
      <c r="G115" s="13"/>
      <c r="H115" s="13"/>
    </row>
    <row r="116" spans="1:8" x14ac:dyDescent="0.25">
      <c r="A116" s="14" t="s">
        <v>175</v>
      </c>
      <c r="B116" s="12">
        <v>17.388000000000002</v>
      </c>
      <c r="C116" s="12">
        <v>7.3</v>
      </c>
      <c r="D116" s="12" t="s">
        <v>88</v>
      </c>
      <c r="E116" s="12">
        <f t="shared" ref="E116:E121" si="7">B116*C116</f>
        <v>126.93240000000002</v>
      </c>
      <c r="F116" s="13"/>
      <c r="G116" s="13"/>
      <c r="H116" s="13"/>
    </row>
    <row r="117" spans="1:8" x14ac:dyDescent="0.25">
      <c r="A117" s="14" t="s">
        <v>176</v>
      </c>
      <c r="B117" s="12">
        <v>0</v>
      </c>
      <c r="C117" s="12">
        <v>5.46</v>
      </c>
      <c r="D117" s="12" t="s">
        <v>88</v>
      </c>
      <c r="E117" s="12">
        <f t="shared" si="7"/>
        <v>0</v>
      </c>
      <c r="F117" s="13"/>
      <c r="G117" s="13"/>
      <c r="H117" s="13"/>
    </row>
    <row r="118" spans="1:8" x14ac:dyDescent="0.25">
      <c r="A118" s="14" t="s">
        <v>177</v>
      </c>
      <c r="B118" s="12">
        <v>34.74</v>
      </c>
      <c r="C118" s="12">
        <v>7.23</v>
      </c>
      <c r="D118" s="12" t="s">
        <v>88</v>
      </c>
      <c r="E118" s="12">
        <f t="shared" si="7"/>
        <v>251.17020000000002</v>
      </c>
      <c r="F118" s="13"/>
      <c r="G118" s="13"/>
      <c r="H118" s="13"/>
    </row>
    <row r="119" spans="1:8" x14ac:dyDescent="0.25">
      <c r="A119" s="14" t="s">
        <v>288</v>
      </c>
      <c r="B119" s="12">
        <v>5.7960000000000003</v>
      </c>
      <c r="C119" s="12">
        <v>9.5299999999999994</v>
      </c>
      <c r="D119" s="12" t="s">
        <v>88</v>
      </c>
      <c r="E119" s="12">
        <f t="shared" si="7"/>
        <v>55.235880000000002</v>
      </c>
      <c r="F119" s="13"/>
      <c r="G119" s="13"/>
      <c r="H119" s="13"/>
    </row>
    <row r="120" spans="1:8" x14ac:dyDescent="0.25">
      <c r="A120" s="14" t="s">
        <v>289</v>
      </c>
      <c r="B120" s="12">
        <v>11.59</v>
      </c>
      <c r="C120" s="12">
        <v>13.87</v>
      </c>
      <c r="D120" s="12" t="s">
        <v>88</v>
      </c>
      <c r="E120" s="12">
        <f t="shared" si="7"/>
        <v>160.7533</v>
      </c>
      <c r="F120" s="13"/>
      <c r="G120" s="13"/>
      <c r="H120" s="13"/>
    </row>
    <row r="121" spans="1:8" x14ac:dyDescent="0.25">
      <c r="A121" s="14" t="s">
        <v>375</v>
      </c>
      <c r="B121" s="12">
        <v>11.59</v>
      </c>
      <c r="C121" s="12">
        <v>22.95</v>
      </c>
      <c r="D121" s="12"/>
      <c r="E121" s="12">
        <f t="shared" si="7"/>
        <v>265.9905</v>
      </c>
      <c r="F121" s="13"/>
      <c r="G121" s="13"/>
      <c r="H121" s="13"/>
    </row>
    <row r="122" spans="1:8" x14ac:dyDescent="0.25">
      <c r="A122" s="14"/>
      <c r="B122" s="12"/>
      <c r="C122" s="12"/>
      <c r="D122" s="12"/>
      <c r="E122" s="12"/>
      <c r="F122" s="13"/>
      <c r="G122" s="13"/>
      <c r="H122" s="13"/>
    </row>
    <row r="123" spans="1:8" x14ac:dyDescent="0.25">
      <c r="A123" s="14"/>
      <c r="B123" s="14"/>
      <c r="C123" s="14"/>
      <c r="D123" s="14"/>
      <c r="E123" s="14">
        <f>SUM(E116:E121)</f>
        <v>860.08228000000008</v>
      </c>
      <c r="F123" s="13"/>
      <c r="G123" s="13"/>
      <c r="H123" s="13"/>
    </row>
    <row r="124" spans="1:8" x14ac:dyDescent="0.25">
      <c r="A124" s="13"/>
      <c r="B124" s="13"/>
      <c r="C124" s="13"/>
      <c r="D124" s="13"/>
      <c r="E124" s="13"/>
      <c r="F124" s="13"/>
      <c r="G124" s="13"/>
      <c r="H124" s="13"/>
    </row>
    <row r="125" spans="1:8" x14ac:dyDescent="0.25">
      <c r="A125" s="13"/>
      <c r="B125" s="13"/>
      <c r="C125" s="13"/>
      <c r="D125" s="13"/>
      <c r="E125" s="13"/>
      <c r="F125" s="13"/>
      <c r="G125" s="13"/>
      <c r="H125" s="13"/>
    </row>
    <row r="126" spans="1:8" ht="26.25" x14ac:dyDescent="0.25">
      <c r="A126" s="23" t="s">
        <v>173</v>
      </c>
      <c r="B126" s="24"/>
      <c r="C126" s="24"/>
      <c r="D126" s="24"/>
      <c r="E126" s="25"/>
      <c r="F126" s="13"/>
      <c r="G126" s="13"/>
      <c r="H126" s="13"/>
    </row>
    <row r="127" spans="1:8" x14ac:dyDescent="0.25">
      <c r="A127" s="12" t="s">
        <v>0</v>
      </c>
      <c r="B127" s="12" t="s">
        <v>3</v>
      </c>
      <c r="C127" s="12" t="s">
        <v>56</v>
      </c>
      <c r="D127" s="12" t="s">
        <v>81</v>
      </c>
      <c r="E127" s="12" t="s">
        <v>1</v>
      </c>
      <c r="F127" s="13"/>
      <c r="G127" s="13"/>
      <c r="H127" s="13"/>
    </row>
    <row r="128" spans="1:8" x14ac:dyDescent="0.25">
      <c r="A128" s="14" t="s">
        <v>117</v>
      </c>
      <c r="B128" s="12">
        <v>60</v>
      </c>
      <c r="C128" s="12">
        <v>0.33</v>
      </c>
      <c r="D128" s="12" t="s">
        <v>84</v>
      </c>
      <c r="E128" s="14">
        <f>+B128*C128</f>
        <v>19.8</v>
      </c>
      <c r="F128" s="13"/>
      <c r="G128" s="13"/>
      <c r="H128" s="13"/>
    </row>
    <row r="129" spans="1:8" x14ac:dyDescent="0.25">
      <c r="A129" s="14" t="s">
        <v>188</v>
      </c>
      <c r="B129" s="12">
        <v>35</v>
      </c>
      <c r="C129" s="20">
        <v>0.38666666</v>
      </c>
      <c r="D129" s="12" t="s">
        <v>84</v>
      </c>
      <c r="E129" s="14">
        <f>+B129*C129</f>
        <v>13.5333331</v>
      </c>
      <c r="F129" s="13"/>
      <c r="G129" s="13"/>
      <c r="H129" s="13"/>
    </row>
    <row r="130" spans="1:8" x14ac:dyDescent="0.25">
      <c r="A130" s="14" t="s">
        <v>190</v>
      </c>
      <c r="B130" s="12">
        <v>28</v>
      </c>
      <c r="C130" s="20">
        <v>0.38666666</v>
      </c>
      <c r="D130" s="12" t="s">
        <v>84</v>
      </c>
      <c r="E130" s="14">
        <f>+B130*C130</f>
        <v>10.82666648</v>
      </c>
      <c r="F130" s="13"/>
      <c r="G130" s="13"/>
      <c r="H130" s="13"/>
    </row>
    <row r="131" spans="1:8" x14ac:dyDescent="0.25">
      <c r="A131" s="14" t="s">
        <v>189</v>
      </c>
      <c r="B131" s="12">
        <v>5</v>
      </c>
      <c r="C131" s="20">
        <v>0.38666666</v>
      </c>
      <c r="D131" s="12" t="s">
        <v>84</v>
      </c>
      <c r="E131" s="14">
        <f>+B131*C131</f>
        <v>1.9333332999999999</v>
      </c>
      <c r="F131" s="13"/>
      <c r="G131" s="13"/>
      <c r="H131" s="13"/>
    </row>
    <row r="132" spans="1:8" x14ac:dyDescent="0.25">
      <c r="A132" s="14" t="s">
        <v>283</v>
      </c>
      <c r="B132" s="12">
        <v>50</v>
      </c>
      <c r="C132" s="20">
        <v>0.38666666</v>
      </c>
      <c r="D132" s="12" t="s">
        <v>84</v>
      </c>
      <c r="E132" s="14">
        <f t="shared" ref="E132:E145" si="8">+B132*C132</f>
        <v>19.333333</v>
      </c>
      <c r="F132" s="13"/>
      <c r="G132" s="13"/>
      <c r="H132" s="13"/>
    </row>
    <row r="133" spans="1:8" x14ac:dyDescent="0.25">
      <c r="A133" s="14" t="s">
        <v>192</v>
      </c>
      <c r="B133" s="12">
        <v>39</v>
      </c>
      <c r="C133" s="20">
        <v>0.38666666</v>
      </c>
      <c r="D133" s="12" t="s">
        <v>84</v>
      </c>
      <c r="E133" s="14">
        <f>+B133*C133</f>
        <v>15.07999974</v>
      </c>
      <c r="F133" s="13"/>
      <c r="G133" s="13"/>
      <c r="H133" s="13"/>
    </row>
    <row r="134" spans="1:8" x14ac:dyDescent="0.25">
      <c r="A134" s="14" t="s">
        <v>198</v>
      </c>
      <c r="B134" s="12">
        <v>26</v>
      </c>
      <c r="C134" s="20">
        <v>0.38666666</v>
      </c>
      <c r="D134" s="12" t="s">
        <v>84</v>
      </c>
      <c r="E134" s="14">
        <f>+B134*C134</f>
        <v>10.053333159999999</v>
      </c>
      <c r="F134" s="13"/>
      <c r="G134" s="13"/>
      <c r="H134" s="13"/>
    </row>
    <row r="135" spans="1:8" x14ac:dyDescent="0.25">
      <c r="A135" s="14" t="s">
        <v>199</v>
      </c>
      <c r="B135" s="12">
        <v>3.5</v>
      </c>
      <c r="C135" s="20">
        <v>0.38666666</v>
      </c>
      <c r="D135" s="12" t="s">
        <v>84</v>
      </c>
      <c r="E135" s="14">
        <f t="shared" ref="E135:E136" si="9">+B135*C135</f>
        <v>1.35333331</v>
      </c>
      <c r="F135" s="13"/>
      <c r="G135" s="13"/>
      <c r="H135" s="13"/>
    </row>
    <row r="136" spans="1:8" x14ac:dyDescent="0.25">
      <c r="A136" s="14" t="s">
        <v>200</v>
      </c>
      <c r="B136" s="12">
        <v>15</v>
      </c>
      <c r="C136" s="20">
        <v>0.38666666</v>
      </c>
      <c r="D136" s="12" t="s">
        <v>84</v>
      </c>
      <c r="E136" s="14">
        <f t="shared" si="9"/>
        <v>5.7999998999999995</v>
      </c>
      <c r="F136" s="13"/>
      <c r="G136" s="13"/>
      <c r="H136" s="13"/>
    </row>
    <row r="137" spans="1:8" x14ac:dyDescent="0.25">
      <c r="A137" s="14" t="s">
        <v>187</v>
      </c>
      <c r="B137" s="12">
        <v>47</v>
      </c>
      <c r="C137" s="20">
        <v>0.38666666</v>
      </c>
      <c r="D137" s="12" t="s">
        <v>84</v>
      </c>
      <c r="E137" s="14">
        <f>+B137*C137</f>
        <v>18.173333020000001</v>
      </c>
      <c r="F137" s="13"/>
      <c r="G137" s="13"/>
      <c r="H137" s="13"/>
    </row>
    <row r="138" spans="1:8" x14ac:dyDescent="0.25">
      <c r="A138" s="14" t="s">
        <v>194</v>
      </c>
      <c r="B138" s="12">
        <v>24</v>
      </c>
      <c r="C138" s="20">
        <v>0.38666666</v>
      </c>
      <c r="D138" s="12" t="s">
        <v>84</v>
      </c>
      <c r="E138" s="14">
        <f>+B139*C138</f>
        <v>9.6666664999999998</v>
      </c>
      <c r="F138" s="13"/>
      <c r="G138" s="13"/>
      <c r="H138" s="13"/>
    </row>
    <row r="139" spans="1:8" x14ac:dyDescent="0.25">
      <c r="A139" s="14" t="s">
        <v>191</v>
      </c>
      <c r="B139" s="12">
        <v>25</v>
      </c>
      <c r="C139" s="16">
        <v>0.41399999999999998</v>
      </c>
      <c r="D139" s="12" t="s">
        <v>84</v>
      </c>
      <c r="E139" s="14">
        <f>+B138*C139</f>
        <v>9.9359999999999999</v>
      </c>
      <c r="F139" s="13"/>
      <c r="G139" s="13"/>
      <c r="H139" s="13"/>
    </row>
    <row r="140" spans="1:8" x14ac:dyDescent="0.25">
      <c r="A140" s="14" t="s">
        <v>195</v>
      </c>
      <c r="B140" s="12">
        <v>25</v>
      </c>
      <c r="C140" s="12">
        <v>0.38700000000000001</v>
      </c>
      <c r="D140" s="12" t="s">
        <v>84</v>
      </c>
      <c r="E140" s="14">
        <f t="shared" si="8"/>
        <v>9.6750000000000007</v>
      </c>
      <c r="F140" s="13"/>
      <c r="G140" s="13"/>
      <c r="H140" s="13"/>
    </row>
    <row r="141" spans="1:8" x14ac:dyDescent="0.25">
      <c r="A141" s="14" t="s">
        <v>196</v>
      </c>
      <c r="B141" s="12">
        <v>33</v>
      </c>
      <c r="C141" s="12">
        <v>0.38700000000000001</v>
      </c>
      <c r="D141" s="12" t="s">
        <v>84</v>
      </c>
      <c r="E141" s="14">
        <f t="shared" si="8"/>
        <v>12.771000000000001</v>
      </c>
      <c r="F141" s="13"/>
      <c r="G141" s="13"/>
      <c r="H141" s="13"/>
    </row>
    <row r="142" spans="1:8" x14ac:dyDescent="0.25">
      <c r="A142" s="14" t="s">
        <v>197</v>
      </c>
      <c r="B142" s="12">
        <v>49</v>
      </c>
      <c r="C142" s="12">
        <v>0.38700000000000001</v>
      </c>
      <c r="D142" s="12" t="s">
        <v>84</v>
      </c>
      <c r="E142" s="14">
        <f t="shared" si="8"/>
        <v>18.963000000000001</v>
      </c>
      <c r="F142" s="13"/>
      <c r="G142" s="13"/>
      <c r="H142" s="13"/>
    </row>
    <row r="143" spans="1:8" x14ac:dyDescent="0.25">
      <c r="A143" s="14" t="s">
        <v>193</v>
      </c>
      <c r="B143" s="12">
        <v>33</v>
      </c>
      <c r="C143" s="12">
        <v>0.38700000000000001</v>
      </c>
      <c r="D143" s="12" t="s">
        <v>84</v>
      </c>
      <c r="E143" s="14">
        <f t="shared" si="8"/>
        <v>12.771000000000001</v>
      </c>
      <c r="F143" s="13"/>
      <c r="G143" s="13"/>
      <c r="H143" s="13"/>
    </row>
    <row r="144" spans="1:8" x14ac:dyDescent="0.25">
      <c r="A144" s="14" t="s">
        <v>201</v>
      </c>
      <c r="B144" s="12">
        <v>5</v>
      </c>
      <c r="C144" s="12">
        <v>0.38700000000000001</v>
      </c>
      <c r="D144" s="12" t="s">
        <v>84</v>
      </c>
      <c r="E144" s="14">
        <f t="shared" si="8"/>
        <v>1.9350000000000001</v>
      </c>
      <c r="F144" s="13"/>
      <c r="G144" s="13"/>
      <c r="H144" s="13"/>
    </row>
    <row r="145" spans="1:8" x14ac:dyDescent="0.25">
      <c r="A145" s="14" t="s">
        <v>202</v>
      </c>
      <c r="B145" s="12">
        <v>50</v>
      </c>
      <c r="C145" s="12">
        <v>0.53359999999999996</v>
      </c>
      <c r="D145" s="12" t="s">
        <v>84</v>
      </c>
      <c r="E145" s="14">
        <f t="shared" si="8"/>
        <v>26.68</v>
      </c>
      <c r="F145" s="13"/>
      <c r="G145" s="13"/>
      <c r="H145" s="13"/>
    </row>
    <row r="146" spans="1:8" x14ac:dyDescent="0.25">
      <c r="A146" s="21"/>
      <c r="B146" s="21"/>
      <c r="C146" s="21"/>
      <c r="D146" s="21"/>
      <c r="E146" s="14">
        <f>SUM(E128:E145)</f>
        <v>218.28433151000002</v>
      </c>
      <c r="F146" s="13"/>
      <c r="G146" s="13"/>
      <c r="H146" s="13"/>
    </row>
    <row r="147" spans="1:8" x14ac:dyDescent="0.25">
      <c r="A147" s="13"/>
      <c r="B147" s="13"/>
      <c r="C147" s="13"/>
      <c r="D147" s="13"/>
      <c r="E147" s="13"/>
      <c r="F147" s="13"/>
      <c r="G147" s="13"/>
      <c r="H147" s="13"/>
    </row>
    <row r="148" spans="1:8" x14ac:dyDescent="0.25">
      <c r="A148" s="13"/>
      <c r="B148" s="13"/>
      <c r="C148" s="13"/>
      <c r="D148" s="13"/>
      <c r="E148" s="13"/>
      <c r="F148" s="13"/>
      <c r="G148" s="13"/>
      <c r="H148" s="13"/>
    </row>
    <row r="149" spans="1:8" ht="30" x14ac:dyDescent="0.25">
      <c r="A149" s="23" t="s">
        <v>293</v>
      </c>
      <c r="B149" s="24"/>
      <c r="C149" s="24"/>
      <c r="D149" s="24"/>
      <c r="E149" s="25"/>
      <c r="F149" s="15" t="s">
        <v>291</v>
      </c>
      <c r="G149" s="15" t="s">
        <v>292</v>
      </c>
      <c r="H149" s="13"/>
    </row>
    <row r="150" spans="1:8" x14ac:dyDescent="0.25">
      <c r="A150" s="12" t="s">
        <v>0</v>
      </c>
      <c r="B150" s="12" t="s">
        <v>3</v>
      </c>
      <c r="C150" s="12" t="s">
        <v>56</v>
      </c>
      <c r="D150" s="12" t="s">
        <v>81</v>
      </c>
      <c r="E150" s="12" t="s">
        <v>1</v>
      </c>
      <c r="F150" s="12"/>
      <c r="G150" s="12"/>
      <c r="H150" s="13"/>
    </row>
    <row r="151" spans="1:8" x14ac:dyDescent="0.25">
      <c r="A151" s="14" t="s">
        <v>294</v>
      </c>
      <c r="B151" s="12">
        <v>1</v>
      </c>
      <c r="C151" s="12">
        <v>319</v>
      </c>
      <c r="D151" s="12" t="s">
        <v>296</v>
      </c>
      <c r="E151" s="12">
        <f t="shared" ref="E151:E159" si="10">B151*C151</f>
        <v>319</v>
      </c>
      <c r="F151" s="12">
        <v>411006</v>
      </c>
      <c r="G151" s="12"/>
      <c r="H151" s="13"/>
    </row>
    <row r="152" spans="1:8" x14ac:dyDescent="0.25">
      <c r="A152" s="14" t="s">
        <v>295</v>
      </c>
      <c r="B152" s="12">
        <v>2</v>
      </c>
      <c r="C152" s="12">
        <v>2</v>
      </c>
      <c r="D152" s="12" t="s">
        <v>296</v>
      </c>
      <c r="E152" s="12">
        <v>45</v>
      </c>
      <c r="F152" s="12">
        <v>411009</v>
      </c>
      <c r="G152" s="12"/>
      <c r="H152" s="13"/>
    </row>
    <row r="153" spans="1:8" x14ac:dyDescent="0.25">
      <c r="A153" s="14" t="s">
        <v>297</v>
      </c>
      <c r="B153" s="12">
        <v>1</v>
      </c>
      <c r="C153" s="12">
        <v>23.9</v>
      </c>
      <c r="D153" s="12" t="s">
        <v>298</v>
      </c>
      <c r="E153" s="12">
        <f t="shared" si="10"/>
        <v>23.9</v>
      </c>
      <c r="F153" s="12">
        <v>432544</v>
      </c>
      <c r="G153" s="12"/>
      <c r="H153" s="13"/>
    </row>
    <row r="154" spans="1:8" x14ac:dyDescent="0.25">
      <c r="A154" s="14" t="s">
        <v>302</v>
      </c>
      <c r="B154" s="12">
        <v>4</v>
      </c>
      <c r="C154" s="12">
        <v>23.24</v>
      </c>
      <c r="D154" s="12" t="s">
        <v>296</v>
      </c>
      <c r="E154" s="12">
        <f t="shared" si="10"/>
        <v>92.96</v>
      </c>
      <c r="F154" s="12">
        <v>903685</v>
      </c>
      <c r="G154" s="12"/>
      <c r="H154" s="13"/>
    </row>
    <row r="155" spans="1:8" x14ac:dyDescent="0.25">
      <c r="A155" s="14" t="s">
        <v>161</v>
      </c>
      <c r="B155" s="12">
        <v>2</v>
      </c>
      <c r="C155" s="12">
        <v>1.99</v>
      </c>
      <c r="D155" s="12" t="s">
        <v>87</v>
      </c>
      <c r="E155" s="12">
        <f t="shared" si="10"/>
        <v>3.98</v>
      </c>
      <c r="F155" s="16">
        <v>438473</v>
      </c>
      <c r="G155" s="12"/>
      <c r="H155" s="13"/>
    </row>
    <row r="156" spans="1:8" x14ac:dyDescent="0.25">
      <c r="A156" s="14" t="s">
        <v>311</v>
      </c>
      <c r="B156" s="12">
        <v>10</v>
      </c>
      <c r="C156" s="12">
        <v>6.95</v>
      </c>
      <c r="D156" s="12" t="s">
        <v>310</v>
      </c>
      <c r="E156" s="12">
        <f t="shared" si="10"/>
        <v>69.5</v>
      </c>
      <c r="F156" s="12">
        <v>438431</v>
      </c>
      <c r="G156" s="12"/>
      <c r="H156" s="13"/>
    </row>
    <row r="157" spans="1:8" x14ac:dyDescent="0.25">
      <c r="A157" s="22" t="s">
        <v>312</v>
      </c>
      <c r="B157" s="12">
        <v>15</v>
      </c>
      <c r="C157" s="12">
        <v>1.3071999999999999</v>
      </c>
      <c r="D157" s="12" t="s">
        <v>84</v>
      </c>
      <c r="E157" s="12">
        <f t="shared" si="10"/>
        <v>19.607999999999997</v>
      </c>
      <c r="F157" s="12">
        <v>401963</v>
      </c>
      <c r="G157" s="12"/>
      <c r="H157" s="13"/>
    </row>
    <row r="158" spans="1:8" x14ac:dyDescent="0.25">
      <c r="A158" s="13" t="s">
        <v>313</v>
      </c>
      <c r="B158" s="12">
        <v>1</v>
      </c>
      <c r="C158" s="12">
        <v>159</v>
      </c>
      <c r="D158" s="12" t="s">
        <v>170</v>
      </c>
      <c r="E158" s="12">
        <f t="shared" si="10"/>
        <v>159</v>
      </c>
      <c r="F158" s="12">
        <v>142194</v>
      </c>
      <c r="G158" s="12"/>
      <c r="H158" s="13"/>
    </row>
    <row r="159" spans="1:8" x14ac:dyDescent="0.25">
      <c r="A159" s="14" t="s">
        <v>374</v>
      </c>
      <c r="B159" s="12">
        <v>20</v>
      </c>
      <c r="C159" s="12">
        <v>5.5</v>
      </c>
      <c r="D159" s="12"/>
      <c r="E159" s="12">
        <f t="shared" si="10"/>
        <v>110</v>
      </c>
      <c r="F159" s="12"/>
      <c r="G159" s="12"/>
      <c r="H159" s="13"/>
    </row>
    <row r="160" spans="1:8" x14ac:dyDescent="0.25">
      <c r="A160" s="14"/>
      <c r="B160" s="14"/>
      <c r="C160" s="14"/>
      <c r="D160" s="14"/>
      <c r="E160" s="14">
        <f>SUM(E151:E159)</f>
        <v>842.94799999999987</v>
      </c>
      <c r="F160" s="12"/>
      <c r="G160" s="12"/>
      <c r="H160" s="13"/>
    </row>
    <row r="161" spans="1:8" x14ac:dyDescent="0.25">
      <c r="A161" s="13"/>
      <c r="B161" s="13"/>
      <c r="C161" s="13"/>
      <c r="D161" s="13"/>
      <c r="E161" s="13"/>
      <c r="F161" s="13"/>
      <c r="G161" s="13"/>
      <c r="H161" s="13"/>
    </row>
    <row r="162" spans="1:8" x14ac:dyDescent="0.25">
      <c r="A162" s="13"/>
      <c r="B162" s="13"/>
      <c r="C162" s="13"/>
      <c r="D162" s="13"/>
      <c r="E162" s="13"/>
      <c r="F162" s="13"/>
      <c r="G162" s="13"/>
      <c r="H162" s="13"/>
    </row>
    <row r="163" spans="1:8" x14ac:dyDescent="0.25">
      <c r="A163" s="13"/>
      <c r="B163" s="13"/>
      <c r="C163" s="13"/>
      <c r="D163" s="13"/>
      <c r="E163" s="13"/>
      <c r="F163" s="13"/>
      <c r="G163" s="13"/>
      <c r="H163" s="13"/>
    </row>
    <row r="164" spans="1:8" x14ac:dyDescent="0.25">
      <c r="A164" s="13"/>
      <c r="B164" s="13"/>
      <c r="C164" s="13"/>
      <c r="D164" s="13"/>
      <c r="E164" s="13"/>
      <c r="F164" s="13"/>
      <c r="G164" s="13"/>
      <c r="H164" s="13"/>
    </row>
    <row r="165" spans="1:8" x14ac:dyDescent="0.25">
      <c r="A165" s="13"/>
      <c r="B165" s="13"/>
      <c r="C165" s="13"/>
      <c r="D165" s="13"/>
      <c r="E165" s="13"/>
      <c r="F165" s="13"/>
      <c r="G165" s="13"/>
      <c r="H165" s="13"/>
    </row>
    <row r="166" spans="1:8" x14ac:dyDescent="0.25">
      <c r="A166" s="13"/>
      <c r="B166" s="13"/>
      <c r="C166" s="13"/>
      <c r="D166" s="13"/>
      <c r="E166" s="13"/>
      <c r="F166" s="13"/>
      <c r="G166" s="13"/>
      <c r="H166" s="13"/>
    </row>
    <row r="167" spans="1:8" x14ac:dyDescent="0.25">
      <c r="A167" s="13"/>
      <c r="B167" s="13"/>
      <c r="C167" s="13"/>
      <c r="D167" s="13"/>
      <c r="E167" s="13"/>
      <c r="F167" s="13"/>
      <c r="G167" s="13"/>
      <c r="H167" s="13"/>
    </row>
    <row r="168" spans="1:8" x14ac:dyDescent="0.25">
      <c r="A168" s="13"/>
      <c r="B168" s="13"/>
      <c r="C168" s="13"/>
      <c r="D168" s="13"/>
      <c r="E168" s="13"/>
      <c r="F168" s="13"/>
      <c r="G168" s="13"/>
      <c r="H168" s="13"/>
    </row>
    <row r="169" spans="1:8" ht="30" x14ac:dyDescent="0.25">
      <c r="A169" s="23" t="s">
        <v>110</v>
      </c>
      <c r="B169" s="24"/>
      <c r="C169" s="24"/>
      <c r="D169" s="24"/>
      <c r="E169" s="25"/>
      <c r="F169" s="15" t="s">
        <v>291</v>
      </c>
      <c r="G169" s="15" t="s">
        <v>292</v>
      </c>
      <c r="H169" s="13"/>
    </row>
    <row r="170" spans="1:8" x14ac:dyDescent="0.25">
      <c r="A170" s="12" t="s">
        <v>0</v>
      </c>
      <c r="B170" s="12" t="s">
        <v>3</v>
      </c>
      <c r="C170" s="12" t="s">
        <v>56</v>
      </c>
      <c r="D170" s="12" t="s">
        <v>81</v>
      </c>
      <c r="E170" s="12" t="s">
        <v>1</v>
      </c>
      <c r="F170" s="12"/>
      <c r="G170" s="12"/>
      <c r="H170" s="13"/>
    </row>
    <row r="171" spans="1:8" x14ac:dyDescent="0.25">
      <c r="A171" s="14"/>
      <c r="B171" s="12"/>
      <c r="C171" s="12"/>
      <c r="D171" s="12"/>
      <c r="E171" s="12"/>
      <c r="F171" s="12"/>
      <c r="G171" s="12"/>
      <c r="H171" s="13"/>
    </row>
    <row r="172" spans="1:8" x14ac:dyDescent="0.25">
      <c r="A172" s="14" t="s">
        <v>305</v>
      </c>
      <c r="B172" s="12">
        <v>40</v>
      </c>
      <c r="C172" s="12">
        <v>3</v>
      </c>
      <c r="D172" s="12" t="s">
        <v>81</v>
      </c>
      <c r="E172" s="12">
        <f t="shared" ref="E172:E178" si="11">B172*C172</f>
        <v>120</v>
      </c>
      <c r="F172" s="12">
        <v>283222</v>
      </c>
      <c r="G172" s="12"/>
      <c r="H172" s="13"/>
    </row>
    <row r="173" spans="1:8" x14ac:dyDescent="0.25">
      <c r="A173" s="14" t="s">
        <v>304</v>
      </c>
      <c r="B173" s="12">
        <v>15</v>
      </c>
      <c r="C173" s="12">
        <v>4.2699999999999996</v>
      </c>
      <c r="D173" s="12" t="s">
        <v>81</v>
      </c>
      <c r="E173" s="12">
        <f t="shared" si="11"/>
        <v>64.05</v>
      </c>
      <c r="F173" s="12">
        <v>216489</v>
      </c>
      <c r="G173" s="12"/>
      <c r="H173" s="13"/>
    </row>
    <row r="174" spans="1:8" x14ac:dyDescent="0.25">
      <c r="A174" s="14" t="s">
        <v>306</v>
      </c>
      <c r="B174" s="12">
        <v>9</v>
      </c>
      <c r="C174" s="12">
        <v>3.31</v>
      </c>
      <c r="D174" s="12" t="s">
        <v>81</v>
      </c>
      <c r="E174" s="12">
        <f t="shared" si="11"/>
        <v>29.79</v>
      </c>
      <c r="F174" s="12">
        <v>216510</v>
      </c>
      <c r="G174" s="12"/>
      <c r="H174" s="13"/>
    </row>
    <row r="175" spans="1:8" x14ac:dyDescent="0.25">
      <c r="A175" s="14" t="s">
        <v>327</v>
      </c>
      <c r="B175" s="12">
        <v>5</v>
      </c>
      <c r="C175" s="12">
        <v>9.35</v>
      </c>
      <c r="D175" s="12" t="s">
        <v>81</v>
      </c>
      <c r="E175" s="12">
        <f t="shared" ref="E175:E176" si="12">B175*C175</f>
        <v>46.75</v>
      </c>
      <c r="F175" s="12">
        <v>219562</v>
      </c>
      <c r="G175" s="12"/>
      <c r="H175" s="13"/>
    </row>
    <row r="176" spans="1:8" x14ac:dyDescent="0.25">
      <c r="A176" s="14" t="s">
        <v>328</v>
      </c>
      <c r="B176" s="12">
        <v>10</v>
      </c>
      <c r="C176" s="12">
        <v>7.81</v>
      </c>
      <c r="D176" s="12" t="s">
        <v>81</v>
      </c>
      <c r="E176" s="12">
        <f t="shared" si="12"/>
        <v>78.099999999999994</v>
      </c>
      <c r="F176" s="12">
        <v>219548</v>
      </c>
      <c r="G176" s="12"/>
      <c r="H176" s="13"/>
    </row>
    <row r="177" spans="1:8" x14ac:dyDescent="0.25">
      <c r="A177" s="14" t="s">
        <v>309</v>
      </c>
      <c r="B177" s="12">
        <v>3</v>
      </c>
      <c r="C177" s="12">
        <v>24.55</v>
      </c>
      <c r="D177" s="12" t="s">
        <v>329</v>
      </c>
      <c r="E177" s="12">
        <f t="shared" si="11"/>
        <v>73.650000000000006</v>
      </c>
      <c r="F177" s="12">
        <v>241033</v>
      </c>
      <c r="G177" s="12"/>
      <c r="H177" s="13"/>
    </row>
    <row r="178" spans="1:8" x14ac:dyDescent="0.25">
      <c r="A178" s="14" t="s">
        <v>331</v>
      </c>
      <c r="B178" s="12">
        <v>8</v>
      </c>
      <c r="C178" s="12">
        <v>24.84</v>
      </c>
      <c r="D178" s="12" t="s">
        <v>329</v>
      </c>
      <c r="E178" s="12">
        <f t="shared" si="11"/>
        <v>198.72</v>
      </c>
      <c r="F178" s="12">
        <v>241098</v>
      </c>
      <c r="G178" s="12"/>
      <c r="H178" s="13"/>
    </row>
    <row r="179" spans="1:8" x14ac:dyDescent="0.25">
      <c r="A179" s="14" t="s">
        <v>314</v>
      </c>
      <c r="B179" s="12">
        <v>0</v>
      </c>
      <c r="C179" s="12">
        <v>25.12</v>
      </c>
      <c r="D179" s="12" t="s">
        <v>329</v>
      </c>
      <c r="E179" s="12">
        <f t="shared" ref="E179" si="13">B179*C179</f>
        <v>0</v>
      </c>
      <c r="F179" s="12">
        <v>241123</v>
      </c>
      <c r="G179" s="12"/>
      <c r="H179" s="13"/>
    </row>
    <row r="180" spans="1:8" x14ac:dyDescent="0.25">
      <c r="A180" s="14" t="s">
        <v>315</v>
      </c>
      <c r="B180" s="12">
        <v>2</v>
      </c>
      <c r="C180" s="12">
        <v>25.38</v>
      </c>
      <c r="D180" s="12" t="s">
        <v>329</v>
      </c>
      <c r="E180" s="12">
        <f t="shared" ref="E180:E182" si="14">B180*C180</f>
        <v>50.76</v>
      </c>
      <c r="F180" s="12">
        <v>241133</v>
      </c>
      <c r="G180" s="12"/>
      <c r="H180" s="13"/>
    </row>
    <row r="181" spans="1:8" x14ac:dyDescent="0.25">
      <c r="A181" s="14" t="s">
        <v>330</v>
      </c>
      <c r="B181" s="12">
        <v>1</v>
      </c>
      <c r="C181" s="12">
        <v>25.38</v>
      </c>
      <c r="D181" s="12" t="s">
        <v>329</v>
      </c>
      <c r="E181" s="12">
        <f t="shared" ref="E181" si="15">B181*C181</f>
        <v>25.38</v>
      </c>
      <c r="F181" s="12">
        <v>241138</v>
      </c>
      <c r="G181" s="12"/>
      <c r="H181" s="13"/>
    </row>
    <row r="182" spans="1:8" x14ac:dyDescent="0.25">
      <c r="A182" s="14" t="s">
        <v>316</v>
      </c>
      <c r="B182" s="12">
        <v>2</v>
      </c>
      <c r="C182" s="12">
        <v>29.89</v>
      </c>
      <c r="D182" s="12" t="s">
        <v>329</v>
      </c>
      <c r="E182" s="12">
        <f t="shared" si="14"/>
        <v>59.78</v>
      </c>
      <c r="F182" s="12">
        <v>241173</v>
      </c>
      <c r="G182" s="12"/>
      <c r="H182" s="13"/>
    </row>
    <row r="183" spans="1:8" x14ac:dyDescent="0.25">
      <c r="A183" s="14" t="s">
        <v>317</v>
      </c>
      <c r="B183" s="12">
        <v>1</v>
      </c>
      <c r="C183" s="12">
        <v>30.22</v>
      </c>
      <c r="D183" s="12" t="s">
        <v>329</v>
      </c>
      <c r="E183" s="12">
        <f t="shared" ref="E183" si="16">B183*C183</f>
        <v>30.22</v>
      </c>
      <c r="F183" s="12">
        <v>241193</v>
      </c>
      <c r="G183" s="12"/>
      <c r="H183" s="13"/>
    </row>
    <row r="184" spans="1:8" x14ac:dyDescent="0.25">
      <c r="A184" s="14" t="s">
        <v>318</v>
      </c>
      <c r="B184" s="12">
        <v>1</v>
      </c>
      <c r="C184" s="12">
        <v>35.01</v>
      </c>
      <c r="D184" s="12" t="s">
        <v>329</v>
      </c>
      <c r="E184" s="12">
        <f t="shared" ref="E184" si="17">B184*C184</f>
        <v>35.01</v>
      </c>
      <c r="F184" s="12">
        <v>241243</v>
      </c>
      <c r="G184" s="12"/>
      <c r="H184" s="13"/>
    </row>
    <row r="185" spans="1:8" x14ac:dyDescent="0.25">
      <c r="A185" s="14" t="s">
        <v>319</v>
      </c>
      <c r="B185" s="12">
        <v>1</v>
      </c>
      <c r="C185" s="12">
        <v>35.01</v>
      </c>
      <c r="D185" s="12" t="s">
        <v>329</v>
      </c>
      <c r="E185" s="12">
        <f t="shared" ref="E185" si="18">B185*C185</f>
        <v>35.01</v>
      </c>
      <c r="F185" s="12">
        <v>241243</v>
      </c>
      <c r="G185" s="12"/>
      <c r="H185" s="13"/>
    </row>
    <row r="186" spans="1:8" x14ac:dyDescent="0.25">
      <c r="A186" s="14" t="s">
        <v>320</v>
      </c>
      <c r="B186" s="12">
        <v>3</v>
      </c>
      <c r="C186" s="12">
        <v>42.51</v>
      </c>
      <c r="D186" s="12" t="s">
        <v>329</v>
      </c>
      <c r="E186" s="12">
        <f t="shared" ref="E186" si="19">B186*C186</f>
        <v>127.53</v>
      </c>
      <c r="F186" s="12">
        <v>241278</v>
      </c>
      <c r="G186" s="12"/>
      <c r="H186" s="13"/>
    </row>
    <row r="187" spans="1:8" x14ac:dyDescent="0.25">
      <c r="A187" s="14" t="s">
        <v>326</v>
      </c>
      <c r="B187" s="12">
        <v>1</v>
      </c>
      <c r="C187" s="12">
        <v>26.68</v>
      </c>
      <c r="D187" s="12" t="s">
        <v>329</v>
      </c>
      <c r="E187" s="12">
        <f t="shared" ref="E187" si="20">B187*C187</f>
        <v>26.68</v>
      </c>
      <c r="F187" s="12">
        <v>240402</v>
      </c>
      <c r="G187" s="12"/>
      <c r="H187" s="13"/>
    </row>
    <row r="188" spans="1:8" x14ac:dyDescent="0.25">
      <c r="A188" s="14" t="s">
        <v>325</v>
      </c>
      <c r="B188" s="12">
        <v>3</v>
      </c>
      <c r="C188" s="12">
        <v>28.6</v>
      </c>
      <c r="D188" s="12" t="s">
        <v>329</v>
      </c>
      <c r="E188" s="12">
        <f>B188*C188</f>
        <v>85.800000000000011</v>
      </c>
      <c r="F188" s="12">
        <v>240437</v>
      </c>
      <c r="G188" s="12"/>
      <c r="H188" s="13"/>
    </row>
    <row r="189" spans="1:8" x14ac:dyDescent="0.25">
      <c r="A189" s="14" t="s">
        <v>321</v>
      </c>
      <c r="B189" s="12">
        <v>4</v>
      </c>
      <c r="C189" s="12">
        <v>1.4</v>
      </c>
      <c r="D189" s="12" t="s">
        <v>81</v>
      </c>
      <c r="E189" s="12">
        <f t="shared" ref="E189" si="21">B189*C189</f>
        <v>5.6</v>
      </c>
      <c r="F189" s="12">
        <v>245388</v>
      </c>
      <c r="G189" s="12"/>
      <c r="H189" s="13"/>
    </row>
    <row r="190" spans="1:8" x14ac:dyDescent="0.25">
      <c r="A190" s="14" t="s">
        <v>322</v>
      </c>
      <c r="B190" s="12">
        <v>4</v>
      </c>
      <c r="C190" s="12">
        <v>1.4</v>
      </c>
      <c r="D190" s="12" t="s">
        <v>81</v>
      </c>
      <c r="E190" s="12">
        <f t="shared" ref="E190" si="22">B190*C190</f>
        <v>5.6</v>
      </c>
      <c r="F190" s="12">
        <v>245381</v>
      </c>
      <c r="G190" s="12"/>
      <c r="H190" s="13"/>
    </row>
    <row r="191" spans="1:8" x14ac:dyDescent="0.25">
      <c r="A191" s="14" t="s">
        <v>323</v>
      </c>
      <c r="B191" s="12">
        <v>5</v>
      </c>
      <c r="C191" s="12">
        <v>0.9</v>
      </c>
      <c r="D191" s="12" t="s">
        <v>81</v>
      </c>
      <c r="E191" s="12">
        <f t="shared" ref="E191:E192" si="23">B191*C191</f>
        <v>4.5</v>
      </c>
      <c r="F191" s="12">
        <v>245966</v>
      </c>
      <c r="G191" s="12"/>
      <c r="H191" s="13"/>
    </row>
    <row r="192" spans="1:8" x14ac:dyDescent="0.25">
      <c r="A192" s="14" t="s">
        <v>324</v>
      </c>
      <c r="B192" s="12">
        <v>5</v>
      </c>
      <c r="C192" s="12">
        <v>0.9</v>
      </c>
      <c r="D192" s="12" t="s">
        <v>81</v>
      </c>
      <c r="E192" s="12">
        <f t="shared" si="23"/>
        <v>4.5</v>
      </c>
      <c r="F192" s="12">
        <v>245959</v>
      </c>
      <c r="G192" s="12"/>
      <c r="H192" s="13"/>
    </row>
    <row r="193" spans="1:8" x14ac:dyDescent="0.25">
      <c r="A193" s="14" t="s">
        <v>338</v>
      </c>
      <c r="B193" s="12">
        <v>4</v>
      </c>
      <c r="C193" s="12">
        <v>15.35</v>
      </c>
      <c r="D193" s="12" t="s">
        <v>81</v>
      </c>
      <c r="E193" s="12">
        <f t="shared" ref="E193:E196" si="24">B193*C193</f>
        <v>61.4</v>
      </c>
      <c r="F193" s="12">
        <v>240123</v>
      </c>
      <c r="G193" s="12"/>
      <c r="H193" s="13"/>
    </row>
    <row r="194" spans="1:8" x14ac:dyDescent="0.25">
      <c r="A194" s="14" t="s">
        <v>339</v>
      </c>
      <c r="B194" s="12">
        <v>0</v>
      </c>
      <c r="C194" s="12">
        <v>15.35</v>
      </c>
      <c r="D194" s="12" t="s">
        <v>81</v>
      </c>
      <c r="E194" s="12">
        <f t="shared" si="24"/>
        <v>0</v>
      </c>
      <c r="F194" s="12">
        <v>240083</v>
      </c>
      <c r="G194" s="12"/>
      <c r="H194" s="13"/>
    </row>
    <row r="195" spans="1:8" x14ac:dyDescent="0.25">
      <c r="A195" s="14" t="s">
        <v>340</v>
      </c>
      <c r="B195" s="12">
        <v>4</v>
      </c>
      <c r="C195" s="12">
        <v>18.760000000000002</v>
      </c>
      <c r="D195" s="12" t="s">
        <v>81</v>
      </c>
      <c r="E195" s="12">
        <f t="shared" si="24"/>
        <v>75.040000000000006</v>
      </c>
      <c r="F195" s="12">
        <v>240038</v>
      </c>
      <c r="G195" s="12"/>
      <c r="H195" s="13"/>
    </row>
    <row r="196" spans="1:8" x14ac:dyDescent="0.25">
      <c r="A196" s="14" t="s">
        <v>341</v>
      </c>
      <c r="B196" s="12">
        <v>3</v>
      </c>
      <c r="C196" s="12">
        <v>18.760000000000002</v>
      </c>
      <c r="D196" s="12" t="s">
        <v>81</v>
      </c>
      <c r="E196" s="12">
        <f t="shared" si="24"/>
        <v>56.28</v>
      </c>
      <c r="F196" s="12">
        <v>240008</v>
      </c>
      <c r="G196" s="12"/>
      <c r="H196" s="13"/>
    </row>
    <row r="197" spans="1:8" x14ac:dyDescent="0.25">
      <c r="A197" s="14" t="s">
        <v>224</v>
      </c>
      <c r="B197" s="12">
        <v>19</v>
      </c>
      <c r="C197" s="12">
        <v>0.89</v>
      </c>
      <c r="D197" s="12" t="s">
        <v>81</v>
      </c>
      <c r="E197" s="12">
        <f t="shared" ref="E197:E231" si="25">B197*C197</f>
        <v>16.91</v>
      </c>
      <c r="F197" s="12">
        <v>213899</v>
      </c>
      <c r="G197" s="12"/>
      <c r="H197" s="13"/>
    </row>
    <row r="198" spans="1:8" x14ac:dyDescent="0.25">
      <c r="A198" s="14" t="s">
        <v>225</v>
      </c>
      <c r="B198" s="12">
        <v>15</v>
      </c>
      <c r="C198" s="12">
        <v>0.79</v>
      </c>
      <c r="D198" s="12" t="s">
        <v>81</v>
      </c>
      <c r="E198" s="12">
        <f t="shared" si="25"/>
        <v>11.850000000000001</v>
      </c>
      <c r="F198" s="12">
        <v>213871</v>
      </c>
      <c r="G198" s="12"/>
      <c r="H198" s="13"/>
    </row>
    <row r="199" spans="1:8" x14ac:dyDescent="0.25">
      <c r="A199" s="14" t="s">
        <v>226</v>
      </c>
      <c r="B199" s="12">
        <v>110</v>
      </c>
      <c r="C199" s="12">
        <v>0.6</v>
      </c>
      <c r="D199" s="12" t="s">
        <v>81</v>
      </c>
      <c r="E199" s="12">
        <f t="shared" si="25"/>
        <v>66</v>
      </c>
      <c r="F199" s="12">
        <v>247957</v>
      </c>
      <c r="G199" s="12"/>
      <c r="H199" s="13"/>
    </row>
    <row r="200" spans="1:8" x14ac:dyDescent="0.25">
      <c r="A200" s="14" t="s">
        <v>334</v>
      </c>
      <c r="B200" s="12">
        <v>16</v>
      </c>
      <c r="C200" s="12">
        <v>2.13</v>
      </c>
      <c r="D200" s="12" t="s">
        <v>81</v>
      </c>
      <c r="E200" s="12">
        <f t="shared" si="25"/>
        <v>34.08</v>
      </c>
      <c r="F200" s="12">
        <v>257512</v>
      </c>
      <c r="G200" s="12"/>
      <c r="H200" s="13"/>
    </row>
    <row r="201" spans="1:8" x14ac:dyDescent="0.25">
      <c r="A201" s="14" t="s">
        <v>335</v>
      </c>
      <c r="B201" s="12">
        <v>17</v>
      </c>
      <c r="C201" s="12">
        <v>2.13</v>
      </c>
      <c r="D201" s="12" t="s">
        <v>81</v>
      </c>
      <c r="E201" s="12">
        <f t="shared" si="25"/>
        <v>36.21</v>
      </c>
      <c r="F201" s="12">
        <v>257505</v>
      </c>
      <c r="G201" s="12"/>
      <c r="H201" s="13"/>
    </row>
    <row r="202" spans="1:8" x14ac:dyDescent="0.25">
      <c r="A202" s="14" t="s">
        <v>332</v>
      </c>
      <c r="B202" s="12">
        <v>39</v>
      </c>
      <c r="C202" s="12">
        <v>1.76</v>
      </c>
      <c r="D202" s="12" t="s">
        <v>81</v>
      </c>
      <c r="E202" s="12">
        <f t="shared" si="25"/>
        <v>68.64</v>
      </c>
      <c r="F202" s="12">
        <v>216566</v>
      </c>
      <c r="G202" s="12"/>
      <c r="H202" s="13"/>
    </row>
    <row r="203" spans="1:8" x14ac:dyDescent="0.25">
      <c r="A203" s="14" t="s">
        <v>333</v>
      </c>
      <c r="B203" s="12">
        <v>25</v>
      </c>
      <c r="C203" s="12">
        <v>0.4</v>
      </c>
      <c r="D203" s="12" t="s">
        <v>81</v>
      </c>
      <c r="E203" s="12">
        <f t="shared" si="25"/>
        <v>10</v>
      </c>
      <c r="F203" s="12">
        <v>232505</v>
      </c>
      <c r="G203" s="12"/>
      <c r="H203" s="13"/>
    </row>
    <row r="204" spans="1:8" x14ac:dyDescent="0.25">
      <c r="A204" s="14" t="s">
        <v>336</v>
      </c>
      <c r="B204" s="12">
        <v>9</v>
      </c>
      <c r="C204" s="12">
        <v>0.39</v>
      </c>
      <c r="D204" s="12" t="s">
        <v>81</v>
      </c>
      <c r="E204" s="12">
        <f t="shared" si="25"/>
        <v>3.5100000000000002</v>
      </c>
      <c r="F204" s="12">
        <v>258884</v>
      </c>
      <c r="G204" s="12"/>
      <c r="H204" s="13"/>
    </row>
    <row r="205" spans="1:8" x14ac:dyDescent="0.25">
      <c r="A205" s="14" t="s">
        <v>337</v>
      </c>
      <c r="B205" s="12">
        <v>10</v>
      </c>
      <c r="C205" s="12">
        <v>0.39</v>
      </c>
      <c r="D205" s="12" t="s">
        <v>81</v>
      </c>
      <c r="E205" s="12">
        <f t="shared" si="25"/>
        <v>3.9000000000000004</v>
      </c>
      <c r="F205" s="12">
        <v>258877</v>
      </c>
      <c r="G205" s="12"/>
      <c r="H205" s="13"/>
    </row>
    <row r="206" spans="1:8" x14ac:dyDescent="0.25">
      <c r="A206" s="14" t="s">
        <v>342</v>
      </c>
      <c r="B206" s="12">
        <v>3</v>
      </c>
      <c r="C206" s="12">
        <v>2.17</v>
      </c>
      <c r="D206" s="12" t="s">
        <v>81</v>
      </c>
      <c r="E206" s="12">
        <f t="shared" ref="E206" si="26">B206*C206</f>
        <v>6.51</v>
      </c>
      <c r="F206" s="12">
        <v>130893</v>
      </c>
      <c r="G206" s="12"/>
      <c r="H206" s="13"/>
    </row>
    <row r="207" spans="1:8" x14ac:dyDescent="0.25">
      <c r="A207" s="14" t="s">
        <v>343</v>
      </c>
      <c r="B207" s="12">
        <v>3</v>
      </c>
      <c r="C207" s="12">
        <v>1.46</v>
      </c>
      <c r="D207" s="12" t="s">
        <v>81</v>
      </c>
      <c r="E207" s="12">
        <f t="shared" si="25"/>
        <v>4.38</v>
      </c>
      <c r="F207" s="12">
        <v>130900</v>
      </c>
      <c r="G207" s="12"/>
      <c r="H207" s="13"/>
    </row>
    <row r="208" spans="1:8" x14ac:dyDescent="0.25">
      <c r="A208" s="14" t="s">
        <v>230</v>
      </c>
      <c r="B208" s="12">
        <v>8</v>
      </c>
      <c r="C208" s="12">
        <v>1.22</v>
      </c>
      <c r="D208" s="12" t="s">
        <v>81</v>
      </c>
      <c r="E208" s="12">
        <f t="shared" si="25"/>
        <v>9.76</v>
      </c>
      <c r="F208" s="12">
        <v>127246</v>
      </c>
      <c r="G208" s="12"/>
      <c r="H208" s="13"/>
    </row>
    <row r="209" spans="1:8" x14ac:dyDescent="0.25">
      <c r="A209" s="14" t="s">
        <v>344</v>
      </c>
      <c r="B209" s="12">
        <v>6</v>
      </c>
      <c r="C209" s="12">
        <v>28.26</v>
      </c>
      <c r="D209" s="12" t="s">
        <v>81</v>
      </c>
      <c r="E209" s="12">
        <f t="shared" si="25"/>
        <v>169.56</v>
      </c>
      <c r="F209" s="12">
        <v>126420</v>
      </c>
      <c r="G209" s="12"/>
      <c r="H209" s="13"/>
    </row>
    <row r="210" spans="1:8" x14ac:dyDescent="0.25">
      <c r="A210" s="14" t="s">
        <v>345</v>
      </c>
      <c r="B210" s="12">
        <v>6</v>
      </c>
      <c r="C210" s="12">
        <v>28.26</v>
      </c>
      <c r="D210" s="12" t="s">
        <v>81</v>
      </c>
      <c r="E210" s="12">
        <f t="shared" si="25"/>
        <v>169.56</v>
      </c>
      <c r="F210" s="12">
        <v>126427</v>
      </c>
      <c r="G210" s="12"/>
      <c r="H210" s="13"/>
    </row>
    <row r="211" spans="1:8" x14ac:dyDescent="0.25">
      <c r="A211" s="14" t="s">
        <v>237</v>
      </c>
      <c r="B211" s="12">
        <v>46</v>
      </c>
      <c r="C211" s="12">
        <v>1.175</v>
      </c>
      <c r="D211" s="12" t="s">
        <v>81</v>
      </c>
      <c r="E211" s="12">
        <f t="shared" si="25"/>
        <v>54.050000000000004</v>
      </c>
      <c r="F211" s="12">
        <v>240393</v>
      </c>
      <c r="G211" s="12"/>
      <c r="H211" s="13"/>
    </row>
    <row r="212" spans="1:8" x14ac:dyDescent="0.25">
      <c r="A212" s="14" t="s">
        <v>238</v>
      </c>
      <c r="B212" s="12">
        <v>52</v>
      </c>
      <c r="C212" s="12">
        <v>1.97</v>
      </c>
      <c r="D212" s="12" t="s">
        <v>81</v>
      </c>
      <c r="E212" s="12">
        <f t="shared" si="25"/>
        <v>102.44</v>
      </c>
      <c r="F212" s="12">
        <v>240372</v>
      </c>
      <c r="G212" s="12"/>
      <c r="H212" s="13"/>
    </row>
    <row r="213" spans="1:8" x14ac:dyDescent="0.25">
      <c r="A213" s="14" t="s">
        <v>346</v>
      </c>
      <c r="B213" s="12">
        <v>10</v>
      </c>
      <c r="C213" s="12">
        <v>5.01</v>
      </c>
      <c r="D213" s="12" t="s">
        <v>81</v>
      </c>
      <c r="E213" s="12">
        <f t="shared" si="25"/>
        <v>50.099999999999994</v>
      </c>
      <c r="F213" s="12">
        <v>125564</v>
      </c>
      <c r="G213" s="12"/>
      <c r="H213" s="13"/>
    </row>
    <row r="214" spans="1:8" x14ac:dyDescent="0.25">
      <c r="A214" s="14" t="s">
        <v>347</v>
      </c>
      <c r="B214" s="12">
        <v>2</v>
      </c>
      <c r="C214" s="12">
        <v>3.26</v>
      </c>
      <c r="D214" s="12" t="s">
        <v>81</v>
      </c>
      <c r="E214" s="12">
        <f t="shared" si="25"/>
        <v>6.52</v>
      </c>
      <c r="F214" s="12">
        <v>236061</v>
      </c>
      <c r="G214" s="12"/>
      <c r="H214" s="13"/>
    </row>
    <row r="215" spans="1:8" x14ac:dyDescent="0.25">
      <c r="A215" s="14" t="s">
        <v>348</v>
      </c>
      <c r="B215" s="12">
        <v>12</v>
      </c>
      <c r="C215" s="12">
        <v>0.74</v>
      </c>
      <c r="D215" s="12" t="s">
        <v>81</v>
      </c>
      <c r="E215" s="12">
        <f t="shared" si="25"/>
        <v>8.879999999999999</v>
      </c>
      <c r="F215" s="12">
        <v>226779</v>
      </c>
      <c r="G215" s="12"/>
      <c r="H215" s="13"/>
    </row>
    <row r="216" spans="1:8" x14ac:dyDescent="0.25">
      <c r="A216" s="14" t="s">
        <v>353</v>
      </c>
      <c r="B216" s="12">
        <v>39</v>
      </c>
      <c r="C216" s="12">
        <v>0.9</v>
      </c>
      <c r="D216" s="12" t="s">
        <v>81</v>
      </c>
      <c r="E216" s="12">
        <f t="shared" si="25"/>
        <v>35.1</v>
      </c>
      <c r="F216" s="12">
        <v>225869</v>
      </c>
      <c r="G216" s="12"/>
      <c r="H216" s="13"/>
    </row>
    <row r="217" spans="1:8" x14ac:dyDescent="0.25">
      <c r="A217" s="14" t="s">
        <v>349</v>
      </c>
      <c r="B217" s="12">
        <v>3</v>
      </c>
      <c r="C217" s="12">
        <v>1.1599999999999999</v>
      </c>
      <c r="D217" s="12" t="s">
        <v>81</v>
      </c>
      <c r="E217" s="12">
        <f t="shared" si="25"/>
        <v>3.4799999999999995</v>
      </c>
      <c r="F217" s="12">
        <v>253361</v>
      </c>
      <c r="G217" s="12"/>
      <c r="H217" s="13"/>
    </row>
    <row r="218" spans="1:8" x14ac:dyDescent="0.25">
      <c r="A218" s="14" t="s">
        <v>350</v>
      </c>
      <c r="B218" s="12">
        <v>1</v>
      </c>
      <c r="C218" s="12">
        <v>1.1599999999999999</v>
      </c>
      <c r="D218" s="12" t="s">
        <v>81</v>
      </c>
      <c r="E218" s="12">
        <f t="shared" si="25"/>
        <v>1.1599999999999999</v>
      </c>
      <c r="F218" s="12">
        <v>253368</v>
      </c>
      <c r="G218" s="12"/>
      <c r="H218" s="13"/>
    </row>
    <row r="219" spans="1:8" x14ac:dyDescent="0.25">
      <c r="A219" s="14" t="s">
        <v>351</v>
      </c>
      <c r="B219" s="12">
        <v>5</v>
      </c>
      <c r="C219" s="12">
        <v>1.1599999999999999</v>
      </c>
      <c r="D219" s="12" t="s">
        <v>81</v>
      </c>
      <c r="E219" s="12">
        <f t="shared" si="25"/>
        <v>5.8</v>
      </c>
      <c r="F219" s="12">
        <v>253375</v>
      </c>
      <c r="G219" s="12"/>
      <c r="H219" s="13"/>
    </row>
    <row r="220" spans="1:8" x14ac:dyDescent="0.25">
      <c r="A220" s="14" t="s">
        <v>352</v>
      </c>
      <c r="B220" s="12">
        <v>2</v>
      </c>
      <c r="C220" s="12">
        <v>9.64</v>
      </c>
      <c r="D220" s="12" t="s">
        <v>81</v>
      </c>
      <c r="E220" s="12">
        <f t="shared" si="25"/>
        <v>19.28</v>
      </c>
      <c r="F220" s="12">
        <v>234318</v>
      </c>
      <c r="G220" s="12"/>
      <c r="H220" s="13"/>
    </row>
    <row r="221" spans="1:8" x14ac:dyDescent="0.25">
      <c r="A221" s="14" t="s">
        <v>299</v>
      </c>
      <c r="B221" s="12">
        <v>10</v>
      </c>
      <c r="C221" s="12">
        <v>11.33</v>
      </c>
      <c r="D221" s="12" t="s">
        <v>81</v>
      </c>
      <c r="E221" s="12">
        <f t="shared" si="25"/>
        <v>113.3</v>
      </c>
      <c r="F221" s="12">
        <v>244683</v>
      </c>
      <c r="G221" s="12"/>
      <c r="H221" s="13"/>
    </row>
    <row r="222" spans="1:8" x14ac:dyDescent="0.25">
      <c r="A222" s="14" t="s">
        <v>300</v>
      </c>
      <c r="B222" s="12">
        <v>4</v>
      </c>
      <c r="C222" s="12">
        <v>77.209999999999994</v>
      </c>
      <c r="D222" s="12" t="s">
        <v>81</v>
      </c>
      <c r="E222" s="12">
        <f t="shared" si="25"/>
        <v>308.83999999999997</v>
      </c>
      <c r="F222" s="12">
        <v>244673</v>
      </c>
      <c r="G222" s="12"/>
      <c r="H222" s="13"/>
    </row>
    <row r="223" spans="1:8" x14ac:dyDescent="0.25">
      <c r="A223" s="14" t="s">
        <v>247</v>
      </c>
      <c r="B223" s="12">
        <v>14</v>
      </c>
      <c r="C223" s="12">
        <v>0.17660000000000001</v>
      </c>
      <c r="D223" s="12" t="s">
        <v>81</v>
      </c>
      <c r="E223" s="12">
        <f t="shared" si="25"/>
        <v>2.4723999999999999</v>
      </c>
      <c r="F223" s="12">
        <v>253301</v>
      </c>
      <c r="G223" s="12"/>
      <c r="H223" s="13"/>
    </row>
    <row r="224" spans="1:8" x14ac:dyDescent="0.25">
      <c r="A224" s="14" t="s">
        <v>248</v>
      </c>
      <c r="B224" s="12">
        <v>8</v>
      </c>
      <c r="C224" s="12">
        <v>1.78</v>
      </c>
      <c r="D224" s="12" t="s">
        <v>81</v>
      </c>
      <c r="E224" s="12">
        <f t="shared" si="25"/>
        <v>14.24</v>
      </c>
      <c r="F224" s="12">
        <v>256109</v>
      </c>
      <c r="G224" s="12"/>
      <c r="H224" s="13"/>
    </row>
    <row r="225" spans="1:8" x14ac:dyDescent="0.25">
      <c r="A225" s="14" t="s">
        <v>249</v>
      </c>
      <c r="B225" s="12">
        <v>11</v>
      </c>
      <c r="C225" s="12">
        <v>2.5499999999999998</v>
      </c>
      <c r="D225" s="12" t="s">
        <v>81</v>
      </c>
      <c r="E225" s="12">
        <f t="shared" si="25"/>
        <v>28.049999999999997</v>
      </c>
      <c r="F225" s="12">
        <v>255017</v>
      </c>
      <c r="G225" s="12"/>
      <c r="H225" s="13"/>
    </row>
    <row r="226" spans="1:8" x14ac:dyDescent="0.25">
      <c r="A226" s="14" t="s">
        <v>307</v>
      </c>
      <c r="B226" s="12">
        <v>0</v>
      </c>
      <c r="C226" s="12">
        <v>2.72</v>
      </c>
      <c r="D226" s="12" t="s">
        <v>81</v>
      </c>
      <c r="E226" s="12">
        <f t="shared" ref="E226:E227" si="27">B226*C226</f>
        <v>0</v>
      </c>
      <c r="F226" s="12">
        <v>255713</v>
      </c>
      <c r="G226" s="12"/>
      <c r="H226" s="13"/>
    </row>
    <row r="227" spans="1:8" x14ac:dyDescent="0.25">
      <c r="A227" s="14" t="s">
        <v>308</v>
      </c>
      <c r="B227" s="12">
        <v>14</v>
      </c>
      <c r="C227" s="12">
        <v>2.88</v>
      </c>
      <c r="D227" s="12" t="s">
        <v>81</v>
      </c>
      <c r="E227" s="12">
        <f t="shared" si="27"/>
        <v>40.32</v>
      </c>
      <c r="F227" s="12">
        <v>545483</v>
      </c>
      <c r="G227" s="12"/>
      <c r="H227" s="13"/>
    </row>
    <row r="228" spans="1:8" x14ac:dyDescent="0.25">
      <c r="A228" s="14" t="s">
        <v>253</v>
      </c>
      <c r="B228" s="12">
        <v>29</v>
      </c>
      <c r="C228" s="12">
        <v>4.09</v>
      </c>
      <c r="D228" s="12" t="s">
        <v>81</v>
      </c>
      <c r="E228" s="12">
        <f t="shared" si="25"/>
        <v>118.61</v>
      </c>
      <c r="F228" s="12">
        <v>251436</v>
      </c>
      <c r="G228" s="12"/>
      <c r="H228" s="13"/>
    </row>
    <row r="229" spans="1:8" x14ac:dyDescent="0.25">
      <c r="A229" s="14" t="s">
        <v>254</v>
      </c>
      <c r="B229" s="12">
        <v>6</v>
      </c>
      <c r="C229" s="12">
        <v>4.2</v>
      </c>
      <c r="D229" s="12" t="s">
        <v>81</v>
      </c>
      <c r="E229" s="12">
        <f t="shared" si="25"/>
        <v>25.200000000000003</v>
      </c>
      <c r="F229" s="12">
        <v>251443</v>
      </c>
      <c r="G229" s="12"/>
      <c r="H229" s="13"/>
    </row>
    <row r="230" spans="1:8" x14ac:dyDescent="0.25">
      <c r="A230" s="14" t="s">
        <v>252</v>
      </c>
      <c r="B230" s="12">
        <v>36</v>
      </c>
      <c r="C230" s="12">
        <v>0.59</v>
      </c>
      <c r="D230" s="12" t="s">
        <v>81</v>
      </c>
      <c r="E230" s="12">
        <f t="shared" si="25"/>
        <v>21.24</v>
      </c>
      <c r="F230" s="12">
        <v>255976</v>
      </c>
      <c r="G230" s="12"/>
      <c r="H230" s="13"/>
    </row>
    <row r="231" spans="1:8" x14ac:dyDescent="0.25">
      <c r="A231" s="14" t="s">
        <v>355</v>
      </c>
      <c r="B231" s="12">
        <v>6</v>
      </c>
      <c r="C231" s="12">
        <v>1.74</v>
      </c>
      <c r="D231" s="12" t="s">
        <v>81</v>
      </c>
      <c r="E231" s="12">
        <f t="shared" si="25"/>
        <v>10.44</v>
      </c>
      <c r="F231" s="12">
        <v>138257</v>
      </c>
      <c r="G231" s="12"/>
      <c r="H231" s="13"/>
    </row>
    <row r="232" spans="1:8" x14ac:dyDescent="0.25">
      <c r="A232" s="14" t="s">
        <v>356</v>
      </c>
      <c r="B232" s="12">
        <v>3</v>
      </c>
      <c r="C232" s="12">
        <v>5.22</v>
      </c>
      <c r="D232" s="12" t="s">
        <v>81</v>
      </c>
      <c r="E232" s="12">
        <f t="shared" ref="E232" si="28">B232*C232</f>
        <v>15.66</v>
      </c>
      <c r="F232" s="12">
        <v>111047</v>
      </c>
      <c r="G232" s="12"/>
      <c r="H232" s="13"/>
    </row>
    <row r="233" spans="1:8" x14ac:dyDescent="0.25">
      <c r="A233" s="14" t="s">
        <v>357</v>
      </c>
      <c r="B233" s="12">
        <v>2</v>
      </c>
      <c r="C233" s="12">
        <v>3.93</v>
      </c>
      <c r="D233" s="12" t="s">
        <v>81</v>
      </c>
      <c r="E233" s="12">
        <f t="shared" ref="E233:E234" si="29">B233*C233</f>
        <v>7.86</v>
      </c>
      <c r="F233" s="12">
        <v>139909</v>
      </c>
      <c r="G233" s="12"/>
      <c r="H233" s="13"/>
    </row>
    <row r="234" spans="1:8" x14ac:dyDescent="0.25">
      <c r="A234" s="14" t="s">
        <v>358</v>
      </c>
      <c r="B234" s="12">
        <v>1</v>
      </c>
      <c r="C234" s="12">
        <v>4.92</v>
      </c>
      <c r="D234" s="12" t="s">
        <v>81</v>
      </c>
      <c r="E234" s="12">
        <f t="shared" si="29"/>
        <v>4.92</v>
      </c>
      <c r="F234" s="12">
        <v>120507</v>
      </c>
      <c r="G234" s="12"/>
      <c r="H234" s="13"/>
    </row>
    <row r="235" spans="1:8" x14ac:dyDescent="0.25">
      <c r="A235" s="14" t="s">
        <v>354</v>
      </c>
      <c r="B235" s="12">
        <v>2</v>
      </c>
      <c r="C235" s="12">
        <v>45.3</v>
      </c>
      <c r="D235" s="12" t="s">
        <v>81</v>
      </c>
      <c r="E235" s="12">
        <f>B235*C235</f>
        <v>90.6</v>
      </c>
      <c r="F235" s="12">
        <v>127099</v>
      </c>
      <c r="G235" s="12"/>
      <c r="H235" s="13"/>
    </row>
    <row r="236" spans="1:8" x14ac:dyDescent="0.25">
      <c r="A236" s="14" t="s">
        <v>377</v>
      </c>
      <c r="B236" s="12">
        <v>21</v>
      </c>
      <c r="C236" s="12">
        <v>1.24</v>
      </c>
      <c r="D236" s="12" t="s">
        <v>81</v>
      </c>
      <c r="E236" s="12">
        <f t="shared" ref="E236:E245" si="30">B236*C236</f>
        <v>26.04</v>
      </c>
      <c r="F236" s="12">
        <v>250229</v>
      </c>
      <c r="G236" s="12"/>
      <c r="H236" s="13"/>
    </row>
    <row r="237" spans="1:8" x14ac:dyDescent="0.25">
      <c r="A237" s="14" t="s">
        <v>376</v>
      </c>
      <c r="B237" s="12">
        <v>15</v>
      </c>
      <c r="C237" s="12">
        <v>2.48</v>
      </c>
      <c r="D237" s="12" t="s">
        <v>81</v>
      </c>
      <c r="E237" s="12">
        <f t="shared" si="30"/>
        <v>37.200000000000003</v>
      </c>
      <c r="F237" s="12">
        <v>252174</v>
      </c>
      <c r="G237" s="12"/>
      <c r="H237" s="13"/>
    </row>
    <row r="238" spans="1:8" x14ac:dyDescent="0.25">
      <c r="A238" s="14" t="s">
        <v>387</v>
      </c>
      <c r="B238" s="12">
        <v>3</v>
      </c>
      <c r="C238" s="12">
        <v>36.46</v>
      </c>
      <c r="D238" s="12" t="s">
        <v>81</v>
      </c>
      <c r="E238" s="12">
        <f t="shared" si="30"/>
        <v>109.38</v>
      </c>
      <c r="F238" s="12">
        <v>250186</v>
      </c>
      <c r="G238" s="12"/>
      <c r="H238" s="13"/>
    </row>
    <row r="239" spans="1:8" x14ac:dyDescent="0.25">
      <c r="A239" s="14" t="s">
        <v>378</v>
      </c>
      <c r="B239" s="12">
        <v>4</v>
      </c>
      <c r="C239" s="12">
        <v>19.23</v>
      </c>
      <c r="D239" s="12" t="s">
        <v>81</v>
      </c>
      <c r="E239" s="12">
        <f t="shared" si="30"/>
        <v>76.92</v>
      </c>
      <c r="F239" s="12">
        <v>245731</v>
      </c>
      <c r="G239" s="12"/>
      <c r="H239" s="13"/>
    </row>
    <row r="240" spans="1:8" x14ac:dyDescent="0.25">
      <c r="A240" s="14" t="s">
        <v>379</v>
      </c>
      <c r="B240" s="12">
        <v>8</v>
      </c>
      <c r="C240" s="12">
        <v>7.36</v>
      </c>
      <c r="D240" s="12" t="s">
        <v>81</v>
      </c>
      <c r="E240" s="12">
        <f t="shared" si="30"/>
        <v>58.88</v>
      </c>
      <c r="F240" s="12">
        <v>245871</v>
      </c>
      <c r="G240" s="12"/>
      <c r="H240" s="13"/>
    </row>
    <row r="241" spans="1:8" x14ac:dyDescent="0.25">
      <c r="A241" s="14" t="s">
        <v>380</v>
      </c>
      <c r="B241" s="12">
        <v>3</v>
      </c>
      <c r="C241" s="12">
        <v>3.27</v>
      </c>
      <c r="D241" s="12" t="s">
        <v>81</v>
      </c>
      <c r="E241" s="12">
        <f t="shared" si="30"/>
        <v>9.81</v>
      </c>
      <c r="F241" s="12">
        <v>246798</v>
      </c>
      <c r="G241" s="12"/>
      <c r="H241" s="13"/>
    </row>
    <row r="242" spans="1:8" x14ac:dyDescent="0.25">
      <c r="A242" s="14" t="s">
        <v>381</v>
      </c>
      <c r="B242" s="12">
        <v>4</v>
      </c>
      <c r="C242" s="12">
        <v>14.13</v>
      </c>
      <c r="D242" s="12" t="s">
        <v>81</v>
      </c>
      <c r="E242" s="12">
        <f t="shared" si="30"/>
        <v>56.52</v>
      </c>
      <c r="F242" s="12">
        <v>245158</v>
      </c>
      <c r="G242" s="12"/>
      <c r="H242" s="13"/>
    </row>
    <row r="243" spans="1:8" x14ac:dyDescent="0.25">
      <c r="A243" s="14" t="s">
        <v>382</v>
      </c>
      <c r="B243" s="12">
        <v>4</v>
      </c>
      <c r="C243" s="12">
        <v>9.11</v>
      </c>
      <c r="D243" s="12" t="s">
        <v>81</v>
      </c>
      <c r="E243" s="12">
        <f t="shared" si="30"/>
        <v>36.44</v>
      </c>
      <c r="F243" s="12">
        <v>247939</v>
      </c>
      <c r="G243" s="12"/>
      <c r="H243" s="13"/>
    </row>
    <row r="244" spans="1:8" x14ac:dyDescent="0.25">
      <c r="A244" s="14" t="s">
        <v>383</v>
      </c>
      <c r="B244" s="12">
        <v>4</v>
      </c>
      <c r="C244" s="12">
        <v>5.27</v>
      </c>
      <c r="D244" s="12" t="s">
        <v>81</v>
      </c>
      <c r="E244" s="12">
        <f t="shared" si="30"/>
        <v>21.08</v>
      </c>
      <c r="F244" s="12">
        <v>255069</v>
      </c>
      <c r="G244" s="12"/>
      <c r="H244" s="13"/>
    </row>
    <row r="245" spans="1:8" x14ac:dyDescent="0.25">
      <c r="A245" s="14" t="s">
        <v>383</v>
      </c>
      <c r="B245" s="12">
        <v>4</v>
      </c>
      <c r="C245" s="12">
        <v>8.3699999999999992</v>
      </c>
      <c r="D245" s="12" t="s">
        <v>81</v>
      </c>
      <c r="E245" s="12">
        <f t="shared" si="30"/>
        <v>33.479999999999997</v>
      </c>
      <c r="F245" s="12">
        <v>255076</v>
      </c>
      <c r="G245" s="12"/>
      <c r="H245" s="13"/>
    </row>
    <row r="246" spans="1:8" x14ac:dyDescent="0.25">
      <c r="A246" s="14" t="s">
        <v>384</v>
      </c>
      <c r="B246" s="12">
        <v>122</v>
      </c>
      <c r="C246" s="12">
        <v>9.92</v>
      </c>
      <c r="D246" s="12" t="s">
        <v>386</v>
      </c>
      <c r="E246" s="12">
        <f>B246*C246/100</f>
        <v>12.102399999999999</v>
      </c>
      <c r="F246" s="12">
        <v>230811</v>
      </c>
      <c r="G246" s="12"/>
      <c r="H246" s="13"/>
    </row>
    <row r="247" spans="1:8" x14ac:dyDescent="0.25">
      <c r="A247" s="14" t="s">
        <v>385</v>
      </c>
      <c r="B247" s="12">
        <v>53</v>
      </c>
      <c r="C247" s="12">
        <v>13.05</v>
      </c>
      <c r="D247" s="12" t="s">
        <v>386</v>
      </c>
      <c r="E247" s="12">
        <f>B247*C247/100</f>
        <v>6.916500000000001</v>
      </c>
      <c r="F247" s="12">
        <v>236698</v>
      </c>
      <c r="G247" s="12"/>
      <c r="H247" s="13"/>
    </row>
    <row r="248" spans="1:8" x14ac:dyDescent="0.25">
      <c r="A248" s="14"/>
      <c r="B248" s="12"/>
      <c r="C248" s="12"/>
      <c r="D248" s="12"/>
      <c r="E248" s="12"/>
      <c r="F248" s="12"/>
      <c r="G248" s="12"/>
      <c r="H248" s="13"/>
    </row>
    <row r="249" spans="1:8" x14ac:dyDescent="0.25">
      <c r="A249" s="14"/>
      <c r="B249" s="12"/>
      <c r="C249" s="12"/>
      <c r="D249" s="12"/>
      <c r="E249" s="12"/>
      <c r="F249" s="12"/>
      <c r="G249" s="12"/>
      <c r="H249" s="13"/>
    </row>
    <row r="250" spans="1:8" x14ac:dyDescent="0.25">
      <c r="A250" s="14"/>
      <c r="B250" s="12"/>
      <c r="C250" s="12"/>
      <c r="D250" s="12"/>
      <c r="E250" s="12"/>
      <c r="F250" s="12"/>
      <c r="G250" s="12"/>
      <c r="H250" s="13"/>
    </row>
    <row r="251" spans="1:8" x14ac:dyDescent="0.25">
      <c r="A251" s="14"/>
      <c r="B251" s="14"/>
      <c r="C251" s="14"/>
      <c r="D251" s="14"/>
      <c r="E251" s="14">
        <f>SUM(E171:E246)</f>
        <v>3477.4348000000005</v>
      </c>
      <c r="F251" s="12"/>
      <c r="G251" s="12"/>
      <c r="H251" s="13"/>
    </row>
    <row r="252" spans="1:8" x14ac:dyDescent="0.25">
      <c r="A252" s="13"/>
      <c r="B252" s="13"/>
      <c r="C252" s="13"/>
      <c r="D252" s="13"/>
      <c r="E252" s="13"/>
      <c r="F252" s="13"/>
      <c r="G252" s="13"/>
      <c r="H252" s="13"/>
    </row>
    <row r="253" spans="1:8" x14ac:dyDescent="0.25">
      <c r="A253" s="13"/>
      <c r="B253" s="13"/>
      <c r="C253" s="13"/>
      <c r="D253" s="13"/>
      <c r="E253" s="13"/>
      <c r="F253" s="13"/>
      <c r="G253" s="13"/>
      <c r="H253" s="13"/>
    </row>
    <row r="254" spans="1:8" x14ac:dyDescent="0.25">
      <c r="A254" s="13"/>
      <c r="B254" s="13"/>
      <c r="C254" s="13"/>
      <c r="D254" s="14" t="s">
        <v>109</v>
      </c>
      <c r="E254" s="14">
        <f>SUM(E61+E97+E111+E123+E160+E251)</f>
        <v>6243.0037800000009</v>
      </c>
      <c r="F254" s="13"/>
      <c r="G254" s="13"/>
      <c r="H254" s="13"/>
    </row>
    <row r="255" spans="1:8" x14ac:dyDescent="0.25">
      <c r="A255" s="13"/>
      <c r="B255" s="13"/>
      <c r="C255" s="13"/>
      <c r="D255" s="13"/>
      <c r="E255" s="13"/>
      <c r="F255" s="13"/>
      <c r="G255" s="13"/>
      <c r="H255" s="13"/>
    </row>
  </sheetData>
  <mergeCells count="7">
    <mergeCell ref="A1:E1"/>
    <mergeCell ref="A67:E67"/>
    <mergeCell ref="A100:E100"/>
    <mergeCell ref="A114:E114"/>
    <mergeCell ref="A169:E169"/>
    <mergeCell ref="A149:E149"/>
    <mergeCell ref="A126:E126"/>
  </mergeCells>
  <phoneticPr fontId="2" type="noConversion"/>
  <pageMargins left="0.7" right="0.7" top="0.75" bottom="0.75" header="0.3" footer="0.3"/>
  <pageSetup paperSize="9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0E5A7A-4455-4C4B-9D90-27DCAF710BC6}">
  <dimension ref="A1:H256"/>
  <sheetViews>
    <sheetView tabSelected="1" topLeftCell="A75" zoomScale="120" zoomScaleNormal="120" workbookViewId="0">
      <selection activeCell="C95" sqref="C95"/>
    </sheetView>
  </sheetViews>
  <sheetFormatPr baseColWidth="10" defaultRowHeight="15" x14ac:dyDescent="0.25"/>
  <cols>
    <col min="1" max="1" width="45.5703125" customWidth="1"/>
    <col min="3" max="3" width="11.28515625" bestFit="1" customWidth="1"/>
  </cols>
  <sheetData>
    <row r="1" spans="1:8" ht="40.5" customHeight="1" x14ac:dyDescent="0.25">
      <c r="A1" s="23" t="s">
        <v>25</v>
      </c>
      <c r="B1" s="24"/>
      <c r="C1" s="24"/>
      <c r="D1" s="24"/>
      <c r="E1" s="25"/>
      <c r="F1" s="11"/>
      <c r="G1" s="12"/>
      <c r="H1" s="13"/>
    </row>
    <row r="2" spans="1:8" ht="17.25" customHeight="1" x14ac:dyDescent="0.25">
      <c r="A2" s="12" t="s">
        <v>0</v>
      </c>
      <c r="B2" s="12" t="s">
        <v>3</v>
      </c>
      <c r="C2" s="12" t="s">
        <v>56</v>
      </c>
      <c r="D2" s="12" t="s">
        <v>81</v>
      </c>
      <c r="E2" s="12" t="s">
        <v>1</v>
      </c>
      <c r="F2" s="12"/>
      <c r="G2" s="12"/>
      <c r="H2" s="13"/>
    </row>
    <row r="3" spans="1:8" x14ac:dyDescent="0.25">
      <c r="A3" s="14" t="s">
        <v>2</v>
      </c>
      <c r="B3" s="12">
        <v>50</v>
      </c>
      <c r="C3" s="12">
        <v>0.99</v>
      </c>
      <c r="D3" s="12" t="s">
        <v>121</v>
      </c>
      <c r="E3" s="12">
        <f t="shared" ref="E3:E41" si="0">B3*C3/100</f>
        <v>0.495</v>
      </c>
      <c r="F3" s="12"/>
      <c r="G3" s="12"/>
      <c r="H3" s="13"/>
    </row>
    <row r="4" spans="1:8" x14ac:dyDescent="0.25">
      <c r="A4" s="14" t="s">
        <v>4</v>
      </c>
      <c r="B4" s="12">
        <v>100</v>
      </c>
      <c r="C4" s="12">
        <v>1.05</v>
      </c>
      <c r="D4" s="12" t="s">
        <v>121</v>
      </c>
      <c r="E4" s="12">
        <f t="shared" si="0"/>
        <v>1.05</v>
      </c>
      <c r="F4" s="12"/>
      <c r="G4" s="12"/>
      <c r="H4" s="13"/>
    </row>
    <row r="5" spans="1:8" x14ac:dyDescent="0.25">
      <c r="A5" s="14" t="s">
        <v>5</v>
      </c>
      <c r="B5" s="12">
        <v>50</v>
      </c>
      <c r="C5" s="12">
        <v>1.05</v>
      </c>
      <c r="D5" s="12" t="s">
        <v>121</v>
      </c>
      <c r="E5" s="12">
        <f t="shared" si="0"/>
        <v>0.52500000000000002</v>
      </c>
      <c r="F5" s="12"/>
      <c r="G5" s="12"/>
      <c r="H5" s="13"/>
    </row>
    <row r="6" spans="1:8" x14ac:dyDescent="0.25">
      <c r="A6" s="14" t="s">
        <v>6</v>
      </c>
      <c r="B6" s="12">
        <v>25</v>
      </c>
      <c r="C6" s="12">
        <v>1.17</v>
      </c>
      <c r="D6" s="12" t="s">
        <v>121</v>
      </c>
      <c r="E6" s="12">
        <f t="shared" si="0"/>
        <v>0.29249999999999998</v>
      </c>
      <c r="F6" s="12"/>
      <c r="G6" s="12"/>
      <c r="H6" s="13"/>
    </row>
    <row r="7" spans="1:8" x14ac:dyDescent="0.25">
      <c r="A7" s="14" t="s">
        <v>7</v>
      </c>
      <c r="B7" s="12">
        <v>50</v>
      </c>
      <c r="C7" s="12">
        <v>1.23</v>
      </c>
      <c r="D7" s="12" t="s">
        <v>121</v>
      </c>
      <c r="E7" s="12">
        <f t="shared" si="0"/>
        <v>0.61499999999999999</v>
      </c>
      <c r="F7" s="12"/>
      <c r="G7" s="12"/>
      <c r="H7" s="13"/>
    </row>
    <row r="8" spans="1:8" x14ac:dyDescent="0.25">
      <c r="A8" s="14" t="s">
        <v>8</v>
      </c>
      <c r="B8" s="12">
        <v>65</v>
      </c>
      <c r="C8" s="12">
        <v>1.35</v>
      </c>
      <c r="D8" s="12" t="s">
        <v>121</v>
      </c>
      <c r="E8" s="12">
        <f t="shared" si="0"/>
        <v>0.87749999999999995</v>
      </c>
      <c r="F8" s="12"/>
      <c r="G8" s="12"/>
      <c r="H8" s="13"/>
    </row>
    <row r="9" spans="1:8" x14ac:dyDescent="0.25">
      <c r="A9" s="14" t="s">
        <v>9</v>
      </c>
      <c r="B9" s="12">
        <v>25</v>
      </c>
      <c r="C9" s="12">
        <v>1.81</v>
      </c>
      <c r="D9" s="12" t="s">
        <v>121</v>
      </c>
      <c r="E9" s="12">
        <f t="shared" si="0"/>
        <v>0.45250000000000001</v>
      </c>
      <c r="F9" s="12"/>
      <c r="G9" s="12"/>
      <c r="H9" s="13"/>
    </row>
    <row r="10" spans="1:8" x14ac:dyDescent="0.25">
      <c r="A10" s="14" t="s">
        <v>10</v>
      </c>
      <c r="B10" s="12">
        <v>40</v>
      </c>
      <c r="C10" s="12">
        <v>1.05</v>
      </c>
      <c r="D10" s="12" t="s">
        <v>121</v>
      </c>
      <c r="E10" s="12">
        <f t="shared" si="0"/>
        <v>0.42</v>
      </c>
      <c r="F10" s="12"/>
      <c r="G10" s="12"/>
      <c r="H10" s="13"/>
    </row>
    <row r="11" spans="1:8" x14ac:dyDescent="0.25">
      <c r="A11" s="14" t="s">
        <v>11</v>
      </c>
      <c r="B11" s="12">
        <v>150</v>
      </c>
      <c r="C11" s="12">
        <v>1.1000000000000001</v>
      </c>
      <c r="D11" s="12" t="s">
        <v>121</v>
      </c>
      <c r="E11" s="12">
        <f t="shared" si="0"/>
        <v>1.65</v>
      </c>
      <c r="F11" s="12"/>
      <c r="G11" s="12"/>
      <c r="H11" s="13"/>
    </row>
    <row r="12" spans="1:8" x14ac:dyDescent="0.25">
      <c r="A12" s="14" t="s">
        <v>12</v>
      </c>
      <c r="B12" s="12">
        <v>30</v>
      </c>
      <c r="C12" s="12">
        <v>1.17</v>
      </c>
      <c r="D12" s="12" t="s">
        <v>121</v>
      </c>
      <c r="E12" s="12">
        <f t="shared" si="0"/>
        <v>0.35099999999999992</v>
      </c>
      <c r="F12" s="12"/>
      <c r="G12" s="12"/>
      <c r="H12" s="13"/>
    </row>
    <row r="13" spans="1:8" x14ac:dyDescent="0.25">
      <c r="A13" s="14" t="s">
        <v>13</v>
      </c>
      <c r="B13" s="12">
        <v>50</v>
      </c>
      <c r="C13" s="12">
        <v>1.23</v>
      </c>
      <c r="D13" s="12" t="s">
        <v>121</v>
      </c>
      <c r="E13" s="12">
        <f t="shared" si="0"/>
        <v>0.61499999999999999</v>
      </c>
      <c r="F13" s="12"/>
      <c r="G13" s="12"/>
      <c r="H13" s="13"/>
    </row>
    <row r="14" spans="1:8" x14ac:dyDescent="0.25">
      <c r="A14" s="14" t="s">
        <v>14</v>
      </c>
      <c r="B14" s="12">
        <v>150</v>
      </c>
      <c r="C14" s="12">
        <v>2.3199999999999998</v>
      </c>
      <c r="D14" s="12" t="s">
        <v>121</v>
      </c>
      <c r="E14" s="12">
        <f t="shared" si="0"/>
        <v>3.48</v>
      </c>
      <c r="F14" s="12"/>
      <c r="G14" s="12"/>
      <c r="H14" s="13"/>
    </row>
    <row r="15" spans="1:8" x14ac:dyDescent="0.25">
      <c r="A15" s="14" t="s">
        <v>15</v>
      </c>
      <c r="B15" s="12">
        <v>150</v>
      </c>
      <c r="C15" s="12">
        <v>1.69</v>
      </c>
      <c r="D15" s="12" t="s">
        <v>121</v>
      </c>
      <c r="E15" s="12">
        <f t="shared" si="0"/>
        <v>2.5350000000000001</v>
      </c>
      <c r="F15" s="12"/>
      <c r="G15" s="12"/>
      <c r="H15" s="13"/>
    </row>
    <row r="16" spans="1:8" x14ac:dyDescent="0.25">
      <c r="A16" s="14" t="s">
        <v>16</v>
      </c>
      <c r="B16" s="12">
        <v>100</v>
      </c>
      <c r="C16" s="12">
        <v>3.76</v>
      </c>
      <c r="D16" s="12" t="s">
        <v>121</v>
      </c>
      <c r="E16" s="12">
        <f t="shared" si="0"/>
        <v>3.76</v>
      </c>
      <c r="F16" s="12"/>
      <c r="G16" s="12"/>
      <c r="H16" s="13"/>
    </row>
    <row r="17" spans="1:8" x14ac:dyDescent="0.25">
      <c r="A17" s="14" t="s">
        <v>17</v>
      </c>
      <c r="B17" s="12">
        <v>0</v>
      </c>
      <c r="C17" s="12">
        <v>1.17</v>
      </c>
      <c r="D17" s="12" t="s">
        <v>121</v>
      </c>
      <c r="E17" s="12">
        <f t="shared" si="0"/>
        <v>0</v>
      </c>
      <c r="F17" s="12"/>
      <c r="G17" s="12"/>
      <c r="H17" s="13"/>
    </row>
    <row r="18" spans="1:8" x14ac:dyDescent="0.25">
      <c r="A18" s="14" t="s">
        <v>18</v>
      </c>
      <c r="B18" s="12">
        <v>35</v>
      </c>
      <c r="C18" s="12">
        <v>1.23</v>
      </c>
      <c r="D18" s="12" t="s">
        <v>121</v>
      </c>
      <c r="E18" s="12">
        <f t="shared" si="0"/>
        <v>0.43049999999999999</v>
      </c>
      <c r="F18" s="12"/>
      <c r="G18" s="12"/>
      <c r="H18" s="13"/>
    </row>
    <row r="19" spans="1:8" x14ac:dyDescent="0.25">
      <c r="A19" s="14" t="s">
        <v>19</v>
      </c>
      <c r="B19" s="12">
        <v>150</v>
      </c>
      <c r="C19" s="12">
        <v>1.29</v>
      </c>
      <c r="D19" s="12" t="s">
        <v>121</v>
      </c>
      <c r="E19" s="12">
        <f t="shared" si="0"/>
        <v>1.9350000000000001</v>
      </c>
      <c r="F19" s="12"/>
      <c r="G19" s="12"/>
      <c r="H19" s="13"/>
    </row>
    <row r="20" spans="1:8" x14ac:dyDescent="0.25">
      <c r="A20" s="14" t="s">
        <v>20</v>
      </c>
      <c r="B20" s="12">
        <v>50</v>
      </c>
      <c r="C20" s="12">
        <v>1.53</v>
      </c>
      <c r="D20" s="12" t="s">
        <v>121</v>
      </c>
      <c r="E20" s="12">
        <f t="shared" si="0"/>
        <v>0.76500000000000001</v>
      </c>
      <c r="F20" s="12"/>
      <c r="G20" s="12"/>
      <c r="H20" s="13"/>
    </row>
    <row r="21" spans="1:8" x14ac:dyDescent="0.25">
      <c r="A21" s="14" t="s">
        <v>21</v>
      </c>
      <c r="B21" s="12">
        <v>150</v>
      </c>
      <c r="C21" s="12">
        <v>1.74</v>
      </c>
      <c r="D21" s="12" t="s">
        <v>121</v>
      </c>
      <c r="E21" s="12">
        <f t="shared" si="0"/>
        <v>2.61</v>
      </c>
      <c r="F21" s="12"/>
      <c r="G21" s="12"/>
      <c r="H21" s="13"/>
    </row>
    <row r="22" spans="1:8" x14ac:dyDescent="0.25">
      <c r="A22" s="14" t="s">
        <v>22</v>
      </c>
      <c r="B22" s="12">
        <v>50</v>
      </c>
      <c r="C22" s="12">
        <v>1.74</v>
      </c>
      <c r="D22" s="12" t="s">
        <v>121</v>
      </c>
      <c r="E22" s="12">
        <f t="shared" si="0"/>
        <v>0.87</v>
      </c>
      <c r="F22" s="12"/>
      <c r="G22" s="12"/>
      <c r="H22" s="13"/>
    </row>
    <row r="23" spans="1:8" x14ac:dyDescent="0.25">
      <c r="A23" s="14" t="s">
        <v>23</v>
      </c>
      <c r="B23" s="12">
        <v>25</v>
      </c>
      <c r="C23" s="12">
        <v>2.4500000000000002</v>
      </c>
      <c r="D23" s="12" t="s">
        <v>121</v>
      </c>
      <c r="E23" s="12">
        <f t="shared" si="0"/>
        <v>0.61250000000000004</v>
      </c>
      <c r="F23" s="12"/>
      <c r="G23" s="12"/>
      <c r="H23" s="13"/>
    </row>
    <row r="24" spans="1:8" x14ac:dyDescent="0.25">
      <c r="A24" s="14" t="s">
        <v>24</v>
      </c>
      <c r="B24" s="12">
        <v>65</v>
      </c>
      <c r="C24" s="12">
        <v>4.66</v>
      </c>
      <c r="D24" s="12" t="s">
        <v>121</v>
      </c>
      <c r="E24" s="12">
        <f t="shared" si="0"/>
        <v>3.0290000000000004</v>
      </c>
      <c r="F24" s="12"/>
      <c r="G24" s="12"/>
      <c r="H24" s="13"/>
    </row>
    <row r="25" spans="1:8" x14ac:dyDescent="0.25">
      <c r="A25" s="14" t="s">
        <v>26</v>
      </c>
      <c r="B25" s="12">
        <v>50</v>
      </c>
      <c r="C25" s="12">
        <v>2.12</v>
      </c>
      <c r="D25" s="12" t="s">
        <v>121</v>
      </c>
      <c r="E25" s="12">
        <f t="shared" si="0"/>
        <v>1.06</v>
      </c>
      <c r="F25" s="12"/>
      <c r="G25" s="12"/>
      <c r="H25" s="13"/>
    </row>
    <row r="26" spans="1:8" x14ac:dyDescent="0.25">
      <c r="A26" s="14" t="s">
        <v>27</v>
      </c>
      <c r="B26" s="12">
        <v>100</v>
      </c>
      <c r="C26" s="12">
        <v>2.12</v>
      </c>
      <c r="D26" s="12" t="s">
        <v>121</v>
      </c>
      <c r="E26" s="12">
        <f t="shared" si="0"/>
        <v>2.12</v>
      </c>
      <c r="F26" s="12"/>
      <c r="G26" s="12"/>
      <c r="H26" s="13"/>
    </row>
    <row r="27" spans="1:8" x14ac:dyDescent="0.25">
      <c r="A27" s="14" t="s">
        <v>28</v>
      </c>
      <c r="B27" s="12">
        <v>75</v>
      </c>
      <c r="C27" s="12">
        <v>2.12</v>
      </c>
      <c r="D27" s="12" t="s">
        <v>121</v>
      </c>
      <c r="E27" s="12">
        <f t="shared" si="0"/>
        <v>1.59</v>
      </c>
      <c r="F27" s="12"/>
      <c r="G27" s="12"/>
      <c r="H27" s="13"/>
    </row>
    <row r="28" spans="1:8" x14ac:dyDescent="0.25">
      <c r="A28" s="14" t="s">
        <v>29</v>
      </c>
      <c r="B28" s="12">
        <v>25</v>
      </c>
      <c r="C28" s="12">
        <v>2.19</v>
      </c>
      <c r="D28" s="12" t="s">
        <v>121</v>
      </c>
      <c r="E28" s="12">
        <f t="shared" si="0"/>
        <v>0.54749999999999999</v>
      </c>
      <c r="F28" s="12"/>
      <c r="G28" s="12"/>
      <c r="H28" s="13"/>
    </row>
    <row r="29" spans="1:8" x14ac:dyDescent="0.25">
      <c r="A29" s="14" t="s">
        <v>30</v>
      </c>
      <c r="B29" s="12">
        <v>75</v>
      </c>
      <c r="C29" s="12">
        <v>2.2599999999999998</v>
      </c>
      <c r="D29" s="12" t="s">
        <v>121</v>
      </c>
      <c r="E29" s="12">
        <f t="shared" si="0"/>
        <v>1.6949999999999996</v>
      </c>
      <c r="F29" s="12"/>
      <c r="G29" s="12"/>
      <c r="H29" s="13"/>
    </row>
    <row r="30" spans="1:8" x14ac:dyDescent="0.25">
      <c r="A30" s="14" t="s">
        <v>31</v>
      </c>
      <c r="B30" s="12">
        <v>50</v>
      </c>
      <c r="C30" s="12">
        <v>3.03</v>
      </c>
      <c r="D30" s="12" t="s">
        <v>121</v>
      </c>
      <c r="E30" s="12">
        <f t="shared" si="0"/>
        <v>1.5149999999999999</v>
      </c>
      <c r="F30" s="12"/>
      <c r="G30" s="12"/>
      <c r="H30" s="13"/>
    </row>
    <row r="31" spans="1:8" x14ac:dyDescent="0.25">
      <c r="A31" s="14" t="s">
        <v>32</v>
      </c>
      <c r="B31" s="12">
        <v>100</v>
      </c>
      <c r="C31" s="12">
        <v>3.15</v>
      </c>
      <c r="D31" s="12" t="s">
        <v>121</v>
      </c>
      <c r="E31" s="12">
        <f t="shared" si="0"/>
        <v>3.15</v>
      </c>
      <c r="F31" s="12"/>
      <c r="G31" s="12"/>
      <c r="H31" s="13"/>
    </row>
    <row r="32" spans="1:8" x14ac:dyDescent="0.25">
      <c r="A32" s="14" t="s">
        <v>33</v>
      </c>
      <c r="B32" s="12">
        <v>100</v>
      </c>
      <c r="C32" s="12">
        <v>3.7240000000000002</v>
      </c>
      <c r="D32" s="12" t="s">
        <v>121</v>
      </c>
      <c r="E32" s="12">
        <f t="shared" si="0"/>
        <v>3.7240000000000002</v>
      </c>
      <c r="F32" s="12"/>
      <c r="G32" s="12"/>
      <c r="H32" s="13"/>
    </row>
    <row r="33" spans="1:8" x14ac:dyDescent="0.25">
      <c r="A33" s="14" t="s">
        <v>34</v>
      </c>
      <c r="B33" s="12">
        <v>150</v>
      </c>
      <c r="C33" s="12">
        <v>3.92</v>
      </c>
      <c r="D33" s="12" t="s">
        <v>121</v>
      </c>
      <c r="E33" s="12">
        <f t="shared" si="0"/>
        <v>5.88</v>
      </c>
      <c r="F33" s="12"/>
      <c r="G33" s="12"/>
      <c r="H33" s="13"/>
    </row>
    <row r="34" spans="1:8" x14ac:dyDescent="0.25">
      <c r="A34" s="14" t="s">
        <v>35</v>
      </c>
      <c r="B34" s="12">
        <v>50</v>
      </c>
      <c r="C34" s="12">
        <v>4.2699999999999996</v>
      </c>
      <c r="D34" s="12" t="s">
        <v>121</v>
      </c>
      <c r="E34" s="12">
        <f t="shared" si="0"/>
        <v>2.1349999999999998</v>
      </c>
      <c r="F34" s="12"/>
      <c r="G34" s="12"/>
      <c r="H34" s="13"/>
    </row>
    <row r="35" spans="1:8" x14ac:dyDescent="0.25">
      <c r="A35" s="14" t="s">
        <v>36</v>
      </c>
      <c r="B35" s="12">
        <v>100</v>
      </c>
      <c r="C35" s="12">
        <v>5.46</v>
      </c>
      <c r="D35" s="12" t="s">
        <v>121</v>
      </c>
      <c r="E35" s="12">
        <f t="shared" si="0"/>
        <v>5.46</v>
      </c>
      <c r="F35" s="12"/>
      <c r="G35" s="12"/>
      <c r="H35" s="13"/>
    </row>
    <row r="36" spans="1:8" x14ac:dyDescent="0.25">
      <c r="A36" s="14" t="s">
        <v>118</v>
      </c>
      <c r="B36" s="12">
        <v>50</v>
      </c>
      <c r="C36" s="12">
        <v>5.66</v>
      </c>
      <c r="D36" s="12" t="s">
        <v>121</v>
      </c>
      <c r="E36" s="12">
        <f t="shared" si="0"/>
        <v>2.83</v>
      </c>
      <c r="F36" s="12"/>
      <c r="G36" s="12"/>
      <c r="H36" s="13"/>
    </row>
    <row r="37" spans="1:8" x14ac:dyDescent="0.25">
      <c r="A37" s="14" t="s">
        <v>37</v>
      </c>
      <c r="B37" s="12">
        <v>75</v>
      </c>
      <c r="C37" s="12">
        <v>8.41</v>
      </c>
      <c r="D37" s="12" t="s">
        <v>121</v>
      </c>
      <c r="E37" s="12">
        <f t="shared" si="0"/>
        <v>6.3075000000000001</v>
      </c>
      <c r="F37" s="12"/>
      <c r="G37" s="12"/>
      <c r="H37" s="13"/>
    </row>
    <row r="38" spans="1:8" x14ac:dyDescent="0.25">
      <c r="A38" s="14" t="s">
        <v>303</v>
      </c>
      <c r="B38" s="12">
        <v>450</v>
      </c>
      <c r="C38" s="12">
        <v>5.7759999999999998</v>
      </c>
      <c r="D38" s="12" t="s">
        <v>121</v>
      </c>
      <c r="E38" s="12">
        <f t="shared" si="0"/>
        <v>25.991999999999997</v>
      </c>
      <c r="F38" s="12">
        <v>338632</v>
      </c>
      <c r="G38" s="12"/>
      <c r="H38" s="13"/>
    </row>
    <row r="39" spans="1:8" x14ac:dyDescent="0.25">
      <c r="A39" s="14" t="s">
        <v>38</v>
      </c>
      <c r="B39" s="12">
        <v>200</v>
      </c>
      <c r="C39" s="12">
        <v>11.94</v>
      </c>
      <c r="D39" s="12" t="s">
        <v>121</v>
      </c>
      <c r="E39" s="12">
        <f t="shared" si="0"/>
        <v>23.88</v>
      </c>
      <c r="F39" s="12"/>
      <c r="G39" s="12"/>
      <c r="H39" s="13"/>
    </row>
    <row r="40" spans="1:8" x14ac:dyDescent="0.25">
      <c r="A40" s="14" t="s">
        <v>39</v>
      </c>
      <c r="B40" s="12">
        <v>250</v>
      </c>
      <c r="C40" s="12">
        <v>11.875</v>
      </c>
      <c r="D40" s="12" t="s">
        <v>121</v>
      </c>
      <c r="E40" s="12">
        <f t="shared" si="0"/>
        <v>29.6875</v>
      </c>
      <c r="F40" s="12"/>
      <c r="G40" s="12"/>
      <c r="H40" s="13"/>
    </row>
    <row r="41" spans="1:8" x14ac:dyDescent="0.25">
      <c r="A41" s="14" t="s">
        <v>133</v>
      </c>
      <c r="B41" s="12">
        <v>0</v>
      </c>
      <c r="C41" s="12">
        <v>21.71</v>
      </c>
      <c r="D41" s="12" t="s">
        <v>121</v>
      </c>
      <c r="E41" s="12">
        <f t="shared" si="0"/>
        <v>0</v>
      </c>
      <c r="F41" s="12"/>
      <c r="G41" s="12"/>
      <c r="H41" s="13"/>
    </row>
    <row r="42" spans="1:8" x14ac:dyDescent="0.25">
      <c r="A42" s="14" t="s">
        <v>119</v>
      </c>
      <c r="B42" s="12">
        <v>25</v>
      </c>
      <c r="C42" s="12">
        <v>35.24</v>
      </c>
      <c r="D42" s="12" t="s">
        <v>121</v>
      </c>
      <c r="E42" s="12">
        <f>B42*C42/100</f>
        <v>8.81</v>
      </c>
      <c r="F42" s="12"/>
      <c r="G42" s="12"/>
      <c r="H42" s="13"/>
    </row>
    <row r="43" spans="1:8" x14ac:dyDescent="0.25">
      <c r="A43" s="14" t="s">
        <v>44</v>
      </c>
      <c r="B43" s="12">
        <v>10</v>
      </c>
      <c r="C43" s="12">
        <v>35.24</v>
      </c>
      <c r="D43" s="12" t="s">
        <v>121</v>
      </c>
      <c r="E43" s="12">
        <f>B43*C43/100</f>
        <v>3.5240000000000005</v>
      </c>
      <c r="F43" s="12"/>
      <c r="G43" s="12"/>
      <c r="H43" s="13"/>
    </row>
    <row r="44" spans="1:8" x14ac:dyDescent="0.25">
      <c r="A44" s="14" t="s">
        <v>120</v>
      </c>
      <c r="B44" s="12">
        <v>80</v>
      </c>
      <c r="C44" s="12">
        <v>13.15</v>
      </c>
      <c r="D44" s="12" t="s">
        <v>121</v>
      </c>
      <c r="E44" s="12">
        <f>B44*C44/100</f>
        <v>10.52</v>
      </c>
      <c r="F44" s="12"/>
      <c r="G44" s="12"/>
      <c r="H44" s="13"/>
    </row>
    <row r="45" spans="1:8" x14ac:dyDescent="0.25">
      <c r="A45" s="14" t="s">
        <v>122</v>
      </c>
      <c r="B45" s="12">
        <v>65</v>
      </c>
      <c r="C45" s="12">
        <v>15.56</v>
      </c>
      <c r="D45" s="12" t="s">
        <v>121</v>
      </c>
      <c r="E45" s="12">
        <f t="shared" ref="E45:E47" si="1">B45*C45/100</f>
        <v>10.113999999999999</v>
      </c>
      <c r="F45" s="12"/>
      <c r="G45" s="12"/>
      <c r="H45" s="13"/>
    </row>
    <row r="46" spans="1:8" x14ac:dyDescent="0.25">
      <c r="A46" s="14" t="s">
        <v>123</v>
      </c>
      <c r="B46" s="12">
        <v>50</v>
      </c>
      <c r="C46" s="12">
        <v>28.44</v>
      </c>
      <c r="D46" s="12" t="s">
        <v>121</v>
      </c>
      <c r="E46" s="12">
        <f t="shared" si="1"/>
        <v>14.22</v>
      </c>
      <c r="F46" s="12"/>
      <c r="G46" s="12"/>
      <c r="H46" s="13"/>
    </row>
    <row r="47" spans="1:8" x14ac:dyDescent="0.25">
      <c r="A47" s="14" t="s">
        <v>124</v>
      </c>
      <c r="B47" s="12">
        <v>50</v>
      </c>
      <c r="C47" s="12">
        <v>10.54</v>
      </c>
      <c r="D47" s="12" t="s">
        <v>121</v>
      </c>
      <c r="E47" s="12">
        <f t="shared" si="1"/>
        <v>5.27</v>
      </c>
      <c r="F47" s="12"/>
      <c r="G47" s="12"/>
      <c r="H47" s="13"/>
    </row>
    <row r="48" spans="1:8" x14ac:dyDescent="0.25">
      <c r="A48" s="14" t="s">
        <v>125</v>
      </c>
      <c r="B48" s="12">
        <v>0</v>
      </c>
      <c r="C48" s="12">
        <v>0.67</v>
      </c>
      <c r="D48" s="12" t="s">
        <v>81</v>
      </c>
      <c r="E48" s="12">
        <f>B48*C48</f>
        <v>0</v>
      </c>
      <c r="F48" s="12"/>
      <c r="G48" s="12"/>
      <c r="H48" s="13"/>
    </row>
    <row r="49" spans="1:8" x14ac:dyDescent="0.25">
      <c r="A49" s="14" t="s">
        <v>135</v>
      </c>
      <c r="B49" s="12">
        <v>50</v>
      </c>
      <c r="C49" s="12"/>
      <c r="D49" s="12" t="s">
        <v>121</v>
      </c>
      <c r="E49" s="12">
        <f>B49*C49/100</f>
        <v>0</v>
      </c>
      <c r="F49" s="12"/>
      <c r="G49" s="12"/>
      <c r="H49" s="13"/>
    </row>
    <row r="50" spans="1:8" x14ac:dyDescent="0.25">
      <c r="A50" s="14" t="s">
        <v>47</v>
      </c>
      <c r="B50" s="12">
        <v>50</v>
      </c>
      <c r="C50" s="12">
        <v>2.1</v>
      </c>
      <c r="D50" s="12" t="s">
        <v>121</v>
      </c>
      <c r="E50" s="12">
        <f>B50*C50/100</f>
        <v>1.05</v>
      </c>
      <c r="F50" s="12"/>
      <c r="G50" s="12"/>
      <c r="H50" s="13"/>
    </row>
    <row r="51" spans="1:8" x14ac:dyDescent="0.25">
      <c r="A51" s="14" t="s">
        <v>40</v>
      </c>
      <c r="B51" s="12">
        <v>4.5</v>
      </c>
      <c r="C51" s="12">
        <v>5.056</v>
      </c>
      <c r="D51" s="12" t="s">
        <v>83</v>
      </c>
      <c r="E51" s="12">
        <v>25.28</v>
      </c>
      <c r="F51" s="12"/>
      <c r="G51" s="12"/>
      <c r="H51" s="13"/>
    </row>
    <row r="52" spans="1:8" x14ac:dyDescent="0.25">
      <c r="A52" s="14" t="s">
        <v>41</v>
      </c>
      <c r="B52" s="12">
        <v>0</v>
      </c>
      <c r="C52" s="12">
        <v>1.6739999999999999</v>
      </c>
      <c r="D52" s="12" t="s">
        <v>83</v>
      </c>
      <c r="E52" s="12">
        <v>1.6739999999999999</v>
      </c>
      <c r="F52" s="12"/>
      <c r="G52" s="12"/>
      <c r="H52" s="13"/>
    </row>
    <row r="53" spans="1:8" x14ac:dyDescent="0.25">
      <c r="A53" s="14" t="s">
        <v>42</v>
      </c>
      <c r="B53" s="12">
        <v>0</v>
      </c>
      <c r="C53" s="12">
        <v>0.1764</v>
      </c>
      <c r="D53" s="12" t="s">
        <v>81</v>
      </c>
      <c r="E53" s="12">
        <f>B53*C53</f>
        <v>0</v>
      </c>
      <c r="F53" s="12"/>
      <c r="G53" s="12"/>
      <c r="H53" s="13"/>
    </row>
    <row r="54" spans="1:8" x14ac:dyDescent="0.25">
      <c r="A54" s="14" t="s">
        <v>143</v>
      </c>
      <c r="B54" s="12">
        <v>0</v>
      </c>
      <c r="C54" s="12">
        <v>0.19620000000000001</v>
      </c>
      <c r="D54" s="12" t="s">
        <v>81</v>
      </c>
      <c r="E54" s="12">
        <f>B54*C54</f>
        <v>0</v>
      </c>
      <c r="F54" s="12"/>
      <c r="G54" s="12"/>
      <c r="H54" s="13"/>
    </row>
    <row r="55" spans="1:8" x14ac:dyDescent="0.25">
      <c r="A55" s="14" t="s">
        <v>43</v>
      </c>
      <c r="B55" s="12">
        <v>5</v>
      </c>
      <c r="C55" s="12">
        <v>0.30580000000000002</v>
      </c>
      <c r="D55" s="12" t="s">
        <v>81</v>
      </c>
      <c r="E55" s="12">
        <f>B55*C55</f>
        <v>1.5290000000000001</v>
      </c>
      <c r="F55" s="12"/>
      <c r="G55" s="12"/>
      <c r="H55" s="13"/>
    </row>
    <row r="56" spans="1:8" x14ac:dyDescent="0.25">
      <c r="A56" s="14" t="s">
        <v>51</v>
      </c>
      <c r="B56" s="12">
        <v>100</v>
      </c>
      <c r="C56" s="12">
        <v>4.0399999999999998E-2</v>
      </c>
      <c r="D56" s="12" t="s">
        <v>121</v>
      </c>
      <c r="E56" s="12">
        <f>B56*C56</f>
        <v>4.04</v>
      </c>
      <c r="F56" s="12"/>
      <c r="G56" s="12"/>
      <c r="H56" s="13"/>
    </row>
    <row r="57" spans="1:8" x14ac:dyDescent="0.25">
      <c r="A57" s="14" t="s">
        <v>50</v>
      </c>
      <c r="B57" s="12">
        <v>75</v>
      </c>
      <c r="C57" s="12">
        <v>4.6900000000000004</v>
      </c>
      <c r="D57" s="12" t="s">
        <v>121</v>
      </c>
      <c r="E57" s="12">
        <f>B57*C57/100</f>
        <v>3.5175000000000005</v>
      </c>
      <c r="F57" s="12"/>
      <c r="G57" s="12"/>
      <c r="H57" s="13"/>
    </row>
    <row r="58" spans="1:8" x14ac:dyDescent="0.25">
      <c r="A58" s="14" t="s">
        <v>140</v>
      </c>
      <c r="B58" s="12">
        <v>150</v>
      </c>
      <c r="C58" s="12">
        <v>7.44</v>
      </c>
      <c r="D58" s="12" t="s">
        <v>121</v>
      </c>
      <c r="E58" s="12">
        <f>B58*C58/100</f>
        <v>11.16</v>
      </c>
      <c r="F58" s="12"/>
      <c r="G58" s="12"/>
      <c r="H58" s="13"/>
    </row>
    <row r="59" spans="1:8" x14ac:dyDescent="0.25">
      <c r="A59" s="14" t="s">
        <v>49</v>
      </c>
      <c r="B59" s="12">
        <v>50</v>
      </c>
      <c r="C59" s="12">
        <v>3.1E-2</v>
      </c>
      <c r="D59" s="12" t="s">
        <v>81</v>
      </c>
      <c r="E59" s="12">
        <f>B59*C59</f>
        <v>1.55</v>
      </c>
      <c r="F59" s="12"/>
      <c r="G59" s="12"/>
      <c r="H59" s="13"/>
    </row>
    <row r="60" spans="1:8" x14ac:dyDescent="0.25">
      <c r="A60" s="14" t="s">
        <v>53</v>
      </c>
      <c r="B60" s="12">
        <v>10</v>
      </c>
      <c r="C60" s="12">
        <v>1.4</v>
      </c>
      <c r="D60" s="12" t="s">
        <v>84</v>
      </c>
      <c r="E60" s="12">
        <f>B60*C60</f>
        <v>14</v>
      </c>
      <c r="F60" s="12"/>
      <c r="G60" s="12"/>
      <c r="H60" s="13"/>
    </row>
    <row r="61" spans="1:8" x14ac:dyDescent="0.25">
      <c r="A61" s="14"/>
      <c r="B61" s="14"/>
      <c r="C61" s="14"/>
      <c r="D61" s="14"/>
      <c r="E61" s="14">
        <f>SUM(E3:E60)</f>
        <v>261.20250000000004</v>
      </c>
      <c r="F61" s="12"/>
      <c r="G61" s="12"/>
      <c r="H61" s="13"/>
    </row>
    <row r="62" spans="1:8" x14ac:dyDescent="0.25">
      <c r="A62" s="13"/>
      <c r="B62" s="13"/>
      <c r="C62" s="13"/>
      <c r="D62" s="13"/>
      <c r="E62" s="13"/>
      <c r="F62" s="13"/>
      <c r="G62" s="13"/>
      <c r="H62" s="13"/>
    </row>
    <row r="63" spans="1:8" x14ac:dyDescent="0.25">
      <c r="A63" s="13"/>
      <c r="B63" s="13"/>
      <c r="C63" s="13"/>
      <c r="D63" s="13"/>
      <c r="E63" s="13"/>
      <c r="F63" s="13"/>
      <c r="G63" s="13"/>
      <c r="H63" s="13"/>
    </row>
    <row r="64" spans="1:8" x14ac:dyDescent="0.25">
      <c r="A64" s="13"/>
      <c r="B64" s="13"/>
      <c r="C64" s="13"/>
      <c r="D64" s="13"/>
      <c r="E64" s="13"/>
      <c r="F64" s="13"/>
      <c r="G64" s="13"/>
      <c r="H64" s="13"/>
    </row>
    <row r="65" spans="1:8" x14ac:dyDescent="0.25">
      <c r="A65" s="13"/>
      <c r="B65" s="13"/>
      <c r="C65" s="13"/>
      <c r="D65" s="13"/>
      <c r="E65" s="13"/>
      <c r="F65" s="13"/>
      <c r="G65" s="13"/>
      <c r="H65" s="13"/>
    </row>
    <row r="66" spans="1:8" x14ac:dyDescent="0.25">
      <c r="A66" s="13"/>
      <c r="B66" s="13"/>
      <c r="C66" s="13"/>
      <c r="D66" s="13"/>
      <c r="E66" s="13"/>
      <c r="F66" s="13"/>
      <c r="G66" s="13"/>
      <c r="H66" s="13"/>
    </row>
    <row r="67" spans="1:8" ht="30" x14ac:dyDescent="0.25">
      <c r="A67" s="23" t="s">
        <v>54</v>
      </c>
      <c r="B67" s="24"/>
      <c r="C67" s="24"/>
      <c r="D67" s="24"/>
      <c r="E67" s="25"/>
      <c r="F67" s="15" t="s">
        <v>291</v>
      </c>
      <c r="G67" s="15" t="s">
        <v>292</v>
      </c>
      <c r="H67" s="13"/>
    </row>
    <row r="68" spans="1:8" x14ac:dyDescent="0.25">
      <c r="A68" s="12" t="s">
        <v>0</v>
      </c>
      <c r="B68" s="12" t="s">
        <v>3</v>
      </c>
      <c r="C68" s="12" t="s">
        <v>56</v>
      </c>
      <c r="D68" s="12" t="s">
        <v>81</v>
      </c>
      <c r="E68" s="12" t="s">
        <v>1</v>
      </c>
      <c r="F68" s="12"/>
      <c r="G68" s="12"/>
      <c r="H68" s="13"/>
    </row>
    <row r="69" spans="1:8" x14ac:dyDescent="0.25">
      <c r="A69" s="14" t="s">
        <v>286</v>
      </c>
      <c r="B69" s="12">
        <v>0</v>
      </c>
      <c r="C69" s="12">
        <v>2.92</v>
      </c>
      <c r="D69" s="12" t="s">
        <v>82</v>
      </c>
      <c r="E69" s="12">
        <f>B69*C69</f>
        <v>0</v>
      </c>
      <c r="F69" s="12"/>
      <c r="G69" s="12"/>
      <c r="H69" s="13"/>
    </row>
    <row r="70" spans="1:8" x14ac:dyDescent="0.25">
      <c r="A70" s="14" t="s">
        <v>102</v>
      </c>
      <c r="B70" s="12">
        <v>2</v>
      </c>
      <c r="C70" s="12">
        <v>2.92</v>
      </c>
      <c r="D70" s="12" t="s">
        <v>82</v>
      </c>
      <c r="E70" s="12">
        <f>B70*C70</f>
        <v>5.84</v>
      </c>
      <c r="F70" s="12"/>
      <c r="G70" s="12"/>
      <c r="H70" s="13"/>
    </row>
    <row r="71" spans="1:8" x14ac:dyDescent="0.25">
      <c r="A71" s="14" t="s">
        <v>103</v>
      </c>
      <c r="B71" s="12">
        <v>0</v>
      </c>
      <c r="C71" s="12">
        <v>2.76</v>
      </c>
      <c r="D71" s="12" t="s">
        <v>82</v>
      </c>
      <c r="E71" s="12">
        <f t="shared" ref="E71:E88" si="2">B71*C71</f>
        <v>0</v>
      </c>
      <c r="F71" s="12"/>
      <c r="G71" s="12"/>
      <c r="H71" s="13"/>
    </row>
    <row r="72" spans="1:8" x14ac:dyDescent="0.25">
      <c r="A72" s="14" t="s">
        <v>104</v>
      </c>
      <c r="B72" s="12">
        <v>2</v>
      </c>
      <c r="C72" s="12">
        <v>2.64</v>
      </c>
      <c r="D72" s="12" t="s">
        <v>82</v>
      </c>
      <c r="E72" s="12">
        <f t="shared" si="2"/>
        <v>5.28</v>
      </c>
      <c r="F72" s="12"/>
      <c r="G72" s="12"/>
      <c r="H72" s="13"/>
    </row>
    <row r="73" spans="1:8" x14ac:dyDescent="0.25">
      <c r="A73" s="14" t="s">
        <v>105</v>
      </c>
      <c r="B73" s="12">
        <v>2</v>
      </c>
      <c r="C73" s="12">
        <v>2.64</v>
      </c>
      <c r="D73" s="12" t="s">
        <v>82</v>
      </c>
      <c r="E73" s="12">
        <f t="shared" si="2"/>
        <v>5.28</v>
      </c>
      <c r="F73" s="12"/>
      <c r="G73" s="12"/>
      <c r="H73" s="13"/>
    </row>
    <row r="74" spans="1:8" x14ac:dyDescent="0.25">
      <c r="A74" s="14" t="s">
        <v>360</v>
      </c>
      <c r="B74" s="12">
        <v>14</v>
      </c>
      <c r="C74" s="12">
        <v>25.72</v>
      </c>
      <c r="D74" s="12" t="s">
        <v>369</v>
      </c>
      <c r="E74" s="12">
        <f>B74*C74/50</f>
        <v>7.2016</v>
      </c>
      <c r="F74" s="12">
        <v>366657</v>
      </c>
      <c r="G74" s="12"/>
      <c r="H74" s="13"/>
    </row>
    <row r="75" spans="1:8" x14ac:dyDescent="0.25">
      <c r="A75" s="14" t="s">
        <v>287</v>
      </c>
      <c r="B75" s="12">
        <v>14</v>
      </c>
      <c r="C75" s="12">
        <v>52.57</v>
      </c>
      <c r="D75" s="12" t="s">
        <v>370</v>
      </c>
      <c r="E75" s="12">
        <f>B75*C75/100</f>
        <v>7.3597999999999999</v>
      </c>
      <c r="F75" s="12">
        <v>366671</v>
      </c>
      <c r="G75" s="12"/>
      <c r="H75" s="13"/>
    </row>
    <row r="76" spans="1:8" x14ac:dyDescent="0.25">
      <c r="A76" s="14" t="s">
        <v>60</v>
      </c>
      <c r="B76" s="12">
        <v>42</v>
      </c>
      <c r="C76" s="12">
        <v>53.57</v>
      </c>
      <c r="D76" s="12" t="s">
        <v>370</v>
      </c>
      <c r="E76" s="12">
        <f>B76*C76/100</f>
        <v>22.499400000000001</v>
      </c>
      <c r="F76" s="12">
        <v>367812</v>
      </c>
      <c r="G76" s="12"/>
      <c r="H76" s="13"/>
    </row>
    <row r="77" spans="1:8" x14ac:dyDescent="0.25">
      <c r="A77" s="14" t="s">
        <v>361</v>
      </c>
      <c r="B77" s="12">
        <v>4</v>
      </c>
      <c r="C77" s="12">
        <v>52.94</v>
      </c>
      <c r="D77" s="12" t="s">
        <v>371</v>
      </c>
      <c r="E77" s="12">
        <f>B77*C77/25</f>
        <v>8.4703999999999997</v>
      </c>
      <c r="F77" s="12">
        <v>391793</v>
      </c>
      <c r="G77" s="12"/>
      <c r="H77" s="13"/>
    </row>
    <row r="78" spans="1:8" x14ac:dyDescent="0.25">
      <c r="A78" s="14" t="s">
        <v>368</v>
      </c>
      <c r="B78" s="12">
        <v>12</v>
      </c>
      <c r="C78" s="12">
        <v>45.47</v>
      </c>
      <c r="D78" s="12" t="s">
        <v>369</v>
      </c>
      <c r="E78" s="12">
        <f>B78*C78/50</f>
        <v>10.912799999999999</v>
      </c>
      <c r="F78" s="12">
        <v>384751</v>
      </c>
      <c r="G78" s="12"/>
      <c r="H78" s="13"/>
    </row>
    <row r="79" spans="1:8" x14ac:dyDescent="0.25">
      <c r="A79" s="14" t="s">
        <v>362</v>
      </c>
      <c r="B79" s="12">
        <v>29</v>
      </c>
      <c r="C79" s="12">
        <v>45.11</v>
      </c>
      <c r="D79" s="12" t="s">
        <v>369</v>
      </c>
      <c r="E79" s="12">
        <f t="shared" ref="E79:E81" si="3">B79*C79/50</f>
        <v>26.163800000000002</v>
      </c>
      <c r="F79" s="12">
        <v>384758</v>
      </c>
      <c r="G79" s="12"/>
      <c r="H79" s="13"/>
    </row>
    <row r="80" spans="1:8" x14ac:dyDescent="0.25">
      <c r="A80" s="14" t="s">
        <v>363</v>
      </c>
      <c r="B80" s="12">
        <v>78</v>
      </c>
      <c r="C80" s="12">
        <v>45.11</v>
      </c>
      <c r="D80" s="12" t="s">
        <v>369</v>
      </c>
      <c r="E80" s="12">
        <f t="shared" si="3"/>
        <v>70.371600000000001</v>
      </c>
      <c r="F80" s="12">
        <v>384772</v>
      </c>
      <c r="G80" s="12"/>
      <c r="H80" s="13"/>
    </row>
    <row r="81" spans="1:8" x14ac:dyDescent="0.25">
      <c r="A81" s="14" t="s">
        <v>364</v>
      </c>
      <c r="B81" s="12">
        <v>50</v>
      </c>
      <c r="C81" s="12">
        <v>44.9</v>
      </c>
      <c r="D81" s="12" t="s">
        <v>369</v>
      </c>
      <c r="E81" s="12">
        <f t="shared" si="3"/>
        <v>44.9</v>
      </c>
      <c r="F81" s="12">
        <v>356729</v>
      </c>
      <c r="G81" s="12"/>
      <c r="H81" s="13"/>
    </row>
    <row r="82" spans="1:8" x14ac:dyDescent="0.25">
      <c r="A82" s="14" t="s">
        <v>365</v>
      </c>
      <c r="B82" s="12">
        <v>40</v>
      </c>
      <c r="C82" s="12">
        <v>94.48</v>
      </c>
      <c r="D82" s="12" t="s">
        <v>370</v>
      </c>
      <c r="E82" s="12">
        <f>B82*C82/100</f>
        <v>37.792000000000002</v>
      </c>
      <c r="F82" s="12">
        <v>370104</v>
      </c>
      <c r="G82" s="12"/>
      <c r="H82" s="13"/>
    </row>
    <row r="83" spans="1:8" x14ac:dyDescent="0.25">
      <c r="A83" s="14" t="s">
        <v>366</v>
      </c>
      <c r="B83" s="12">
        <v>45</v>
      </c>
      <c r="C83" s="12">
        <v>94.48</v>
      </c>
      <c r="D83" s="12" t="s">
        <v>370</v>
      </c>
      <c r="E83" s="12">
        <f>B83*C83/100</f>
        <v>42.516000000000005</v>
      </c>
      <c r="F83" s="12">
        <v>370111</v>
      </c>
      <c r="G83" s="12"/>
      <c r="H83" s="13"/>
    </row>
    <row r="84" spans="1:8" x14ac:dyDescent="0.25">
      <c r="A84" s="14" t="s">
        <v>367</v>
      </c>
      <c r="B84" s="12">
        <v>51</v>
      </c>
      <c r="C84" s="12">
        <v>94.48</v>
      </c>
      <c r="D84" s="12" t="s">
        <v>370</v>
      </c>
      <c r="E84" s="12">
        <f>B84*C84/100</f>
        <v>48.184800000000003</v>
      </c>
      <c r="F84" s="12">
        <v>370118</v>
      </c>
      <c r="G84" s="12"/>
      <c r="H84" s="13"/>
    </row>
    <row r="85" spans="1:8" x14ac:dyDescent="0.25">
      <c r="A85" s="14" t="s">
        <v>372</v>
      </c>
      <c r="B85" s="12">
        <v>4</v>
      </c>
      <c r="C85" s="12">
        <v>23.89</v>
      </c>
      <c r="D85" s="12" t="s">
        <v>82</v>
      </c>
      <c r="E85" s="12">
        <f t="shared" si="2"/>
        <v>95.56</v>
      </c>
      <c r="F85" s="12">
        <v>368928</v>
      </c>
      <c r="G85" s="12"/>
      <c r="H85" s="13"/>
    </row>
    <row r="86" spans="1:8" x14ac:dyDescent="0.25">
      <c r="A86" s="14" t="s">
        <v>57</v>
      </c>
      <c r="B86" s="12">
        <v>1</v>
      </c>
      <c r="C86" s="12">
        <v>19.55</v>
      </c>
      <c r="D86" s="12" t="s">
        <v>373</v>
      </c>
      <c r="E86" s="12">
        <f t="shared" si="2"/>
        <v>19.55</v>
      </c>
      <c r="F86" s="12">
        <v>408254</v>
      </c>
      <c r="G86" s="12"/>
      <c r="H86" s="13"/>
    </row>
    <row r="87" spans="1:8" x14ac:dyDescent="0.25">
      <c r="A87" s="14" t="s">
        <v>145</v>
      </c>
      <c r="B87" s="12">
        <v>6</v>
      </c>
      <c r="C87" s="12">
        <v>3.726</v>
      </c>
      <c r="D87" s="12" t="s">
        <v>85</v>
      </c>
      <c r="E87" s="12">
        <f t="shared" si="2"/>
        <v>22.356000000000002</v>
      </c>
      <c r="F87" s="16">
        <v>436716</v>
      </c>
      <c r="G87" s="12"/>
      <c r="H87" s="13"/>
    </row>
    <row r="88" spans="1:8" x14ac:dyDescent="0.25">
      <c r="A88" s="14" t="s">
        <v>146</v>
      </c>
      <c r="B88" s="12">
        <v>6</v>
      </c>
      <c r="C88" s="12">
        <v>4.0350000000000001</v>
      </c>
      <c r="D88" s="12" t="s">
        <v>85</v>
      </c>
      <c r="E88" s="12">
        <f t="shared" si="2"/>
        <v>24.21</v>
      </c>
      <c r="F88" s="12">
        <v>438361</v>
      </c>
      <c r="G88" s="12"/>
      <c r="H88" s="13"/>
    </row>
    <row r="89" spans="1:8" x14ac:dyDescent="0.25">
      <c r="A89" s="17" t="s">
        <v>75</v>
      </c>
      <c r="B89" s="18">
        <v>400</v>
      </c>
      <c r="C89" s="19">
        <v>68.44</v>
      </c>
      <c r="D89" s="19" t="s">
        <v>152</v>
      </c>
      <c r="E89" s="19">
        <f>B89*C89/1000</f>
        <v>27.376000000000001</v>
      </c>
      <c r="F89" s="12">
        <v>110502</v>
      </c>
      <c r="G89" s="12"/>
      <c r="H89" s="13"/>
    </row>
    <row r="90" spans="1:8" x14ac:dyDescent="0.25">
      <c r="A90" s="17" t="s">
        <v>148</v>
      </c>
      <c r="B90" s="12">
        <v>100</v>
      </c>
      <c r="C90" s="12">
        <v>66.010000000000005</v>
      </c>
      <c r="D90" s="19" t="s">
        <v>152</v>
      </c>
      <c r="E90" s="19">
        <f>B90*C90/1000</f>
        <v>6.6010000000000009</v>
      </c>
      <c r="F90" s="12">
        <v>110495</v>
      </c>
      <c r="G90" s="12"/>
      <c r="H90" s="13"/>
    </row>
    <row r="91" spans="1:8" x14ac:dyDescent="0.25">
      <c r="A91" s="17" t="s">
        <v>149</v>
      </c>
      <c r="B91" s="12">
        <v>400</v>
      </c>
      <c r="C91" s="12">
        <v>62.63</v>
      </c>
      <c r="D91" s="19" t="s">
        <v>152</v>
      </c>
      <c r="E91" s="19">
        <f t="shared" ref="E91:E93" si="4">B91*C91/1000</f>
        <v>25.052</v>
      </c>
      <c r="F91" s="12">
        <v>110488</v>
      </c>
      <c r="G91" s="12"/>
      <c r="H91" s="13"/>
    </row>
    <row r="92" spans="1:8" x14ac:dyDescent="0.25">
      <c r="A92" s="17" t="s">
        <v>150</v>
      </c>
      <c r="B92" s="12">
        <v>200</v>
      </c>
      <c r="C92" s="12">
        <v>60.79</v>
      </c>
      <c r="D92" s="19" t="s">
        <v>152</v>
      </c>
      <c r="E92" s="19">
        <f t="shared" si="4"/>
        <v>12.157999999999999</v>
      </c>
      <c r="F92" s="12">
        <v>110481</v>
      </c>
      <c r="G92" s="12"/>
      <c r="H92" s="13"/>
    </row>
    <row r="93" spans="1:8" x14ac:dyDescent="0.25">
      <c r="A93" s="14" t="s">
        <v>76</v>
      </c>
      <c r="B93" s="12">
        <v>150</v>
      </c>
      <c r="C93" s="12">
        <v>51.94</v>
      </c>
      <c r="D93" s="19" t="s">
        <v>152</v>
      </c>
      <c r="E93" s="19">
        <f t="shared" si="4"/>
        <v>7.7910000000000004</v>
      </c>
      <c r="F93" s="12">
        <v>110474</v>
      </c>
      <c r="G93" s="12"/>
      <c r="H93" s="13"/>
    </row>
    <row r="94" spans="1:8" x14ac:dyDescent="0.25">
      <c r="A94" s="14" t="s">
        <v>153</v>
      </c>
      <c r="B94" s="12">
        <v>3</v>
      </c>
      <c r="C94" s="12">
        <v>6.29</v>
      </c>
      <c r="D94" s="12" t="s">
        <v>203</v>
      </c>
      <c r="E94" s="19">
        <f t="shared" ref="E94:E96" si="5">B94*C94</f>
        <v>18.87</v>
      </c>
      <c r="F94" s="12"/>
      <c r="G94" s="12"/>
      <c r="H94" s="13"/>
    </row>
    <row r="95" spans="1:8" x14ac:dyDescent="0.25">
      <c r="A95" s="14" t="s">
        <v>359</v>
      </c>
      <c r="B95" s="12">
        <v>9000</v>
      </c>
      <c r="C95" s="12">
        <v>1.008E-2</v>
      </c>
      <c r="D95" s="12" t="s">
        <v>393</v>
      </c>
      <c r="E95" s="19">
        <f t="shared" si="5"/>
        <v>90.72</v>
      </c>
      <c r="F95" s="12"/>
      <c r="G95" s="12"/>
      <c r="H95" s="13"/>
    </row>
    <row r="96" spans="1:8" x14ac:dyDescent="0.25">
      <c r="A96" s="14" t="s">
        <v>301</v>
      </c>
      <c r="B96" s="12">
        <v>2</v>
      </c>
      <c r="C96" s="12">
        <v>5.25</v>
      </c>
      <c r="D96" s="12" t="s">
        <v>81</v>
      </c>
      <c r="E96" s="19">
        <f t="shared" si="5"/>
        <v>10.5</v>
      </c>
      <c r="F96" s="12">
        <v>44829</v>
      </c>
      <c r="G96" s="12"/>
      <c r="H96" s="13"/>
    </row>
    <row r="97" spans="1:8" x14ac:dyDescent="0.25">
      <c r="A97" s="14"/>
      <c r="B97" s="12"/>
      <c r="C97" s="12"/>
      <c r="D97" s="12"/>
      <c r="E97" s="12">
        <f>SUM(E69:E96)</f>
        <v>703.51620000000014</v>
      </c>
      <c r="F97" s="12"/>
      <c r="G97" s="12"/>
      <c r="H97" s="13"/>
    </row>
    <row r="98" spans="1:8" x14ac:dyDescent="0.25">
      <c r="A98" s="13"/>
      <c r="B98" s="13"/>
      <c r="C98" s="13"/>
      <c r="D98" s="13"/>
      <c r="E98" s="13"/>
      <c r="F98" s="13"/>
      <c r="G98" s="13"/>
      <c r="H98" s="13"/>
    </row>
    <row r="99" spans="1:8" x14ac:dyDescent="0.25">
      <c r="A99" s="13"/>
      <c r="B99" s="13"/>
      <c r="C99" s="13"/>
      <c r="D99" s="13"/>
      <c r="E99" s="13"/>
      <c r="F99" s="13"/>
      <c r="G99" s="13"/>
      <c r="H99" s="13"/>
    </row>
    <row r="100" spans="1:8" ht="30" x14ac:dyDescent="0.25">
      <c r="A100" s="23" t="s">
        <v>55</v>
      </c>
      <c r="B100" s="24"/>
      <c r="C100" s="24"/>
      <c r="D100" s="24"/>
      <c r="E100" s="25"/>
      <c r="F100" s="15" t="s">
        <v>291</v>
      </c>
      <c r="G100" s="15" t="s">
        <v>292</v>
      </c>
      <c r="H100" s="13"/>
    </row>
    <row r="101" spans="1:8" x14ac:dyDescent="0.25">
      <c r="A101" s="12" t="s">
        <v>0</v>
      </c>
      <c r="B101" s="12" t="s">
        <v>3</v>
      </c>
      <c r="C101" s="12" t="s">
        <v>56</v>
      </c>
      <c r="D101" s="12" t="s">
        <v>81</v>
      </c>
      <c r="E101" s="12" t="s">
        <v>1</v>
      </c>
      <c r="F101" s="12"/>
      <c r="G101" s="12"/>
      <c r="H101" s="13"/>
    </row>
    <row r="102" spans="1:8" x14ac:dyDescent="0.25">
      <c r="A102" s="14" t="s">
        <v>62</v>
      </c>
      <c r="B102" s="12">
        <v>1</v>
      </c>
      <c r="C102" s="12">
        <v>11.64</v>
      </c>
      <c r="D102" s="12" t="s">
        <v>87</v>
      </c>
      <c r="E102" s="12">
        <f t="shared" ref="E102:E110" si="6">B102*C102</f>
        <v>11.64</v>
      </c>
      <c r="F102" s="12">
        <v>429954</v>
      </c>
      <c r="G102" s="12"/>
      <c r="H102" s="13"/>
    </row>
    <row r="103" spans="1:8" x14ac:dyDescent="0.25">
      <c r="A103" s="14" t="s">
        <v>285</v>
      </c>
      <c r="B103" s="12">
        <v>2</v>
      </c>
      <c r="C103" s="12">
        <v>4</v>
      </c>
      <c r="D103" s="12" t="s">
        <v>87</v>
      </c>
      <c r="E103" s="12">
        <f t="shared" si="6"/>
        <v>8</v>
      </c>
      <c r="F103" s="12"/>
      <c r="G103" s="12"/>
      <c r="H103" s="13"/>
    </row>
    <row r="104" spans="1:8" x14ac:dyDescent="0.25">
      <c r="A104" s="14" t="s">
        <v>64</v>
      </c>
      <c r="B104" s="12">
        <v>0</v>
      </c>
      <c r="C104" s="12">
        <v>3.34</v>
      </c>
      <c r="D104" s="12" t="s">
        <v>87</v>
      </c>
      <c r="E104" s="12">
        <f t="shared" si="6"/>
        <v>0</v>
      </c>
      <c r="F104" s="12"/>
      <c r="G104" s="12"/>
      <c r="H104" s="13"/>
    </row>
    <row r="105" spans="1:8" x14ac:dyDescent="0.25">
      <c r="A105" s="14" t="s">
        <v>290</v>
      </c>
      <c r="B105" s="12">
        <v>2</v>
      </c>
      <c r="C105" s="12">
        <v>2.95</v>
      </c>
      <c r="D105" s="12" t="s">
        <v>87</v>
      </c>
      <c r="E105" s="12">
        <f t="shared" si="6"/>
        <v>5.9</v>
      </c>
      <c r="F105" s="12">
        <v>446341</v>
      </c>
      <c r="G105" s="12"/>
      <c r="H105" s="13"/>
    </row>
    <row r="106" spans="1:8" x14ac:dyDescent="0.25">
      <c r="A106" s="14" t="s">
        <v>161</v>
      </c>
      <c r="B106" s="12">
        <v>1</v>
      </c>
      <c r="C106" s="12">
        <v>1.99</v>
      </c>
      <c r="D106" s="12" t="s">
        <v>87</v>
      </c>
      <c r="E106" s="12">
        <f t="shared" si="6"/>
        <v>1.99</v>
      </c>
      <c r="F106" s="16">
        <v>438473</v>
      </c>
      <c r="G106" s="12"/>
      <c r="H106" s="13"/>
    </row>
    <row r="107" spans="1:8" x14ac:dyDescent="0.25">
      <c r="A107" s="14" t="s">
        <v>167</v>
      </c>
      <c r="B107" s="12">
        <v>0.5</v>
      </c>
      <c r="C107" s="12">
        <v>50.44</v>
      </c>
      <c r="D107" s="12" t="s">
        <v>83</v>
      </c>
      <c r="E107" s="12">
        <f t="shared" si="6"/>
        <v>25.22</v>
      </c>
      <c r="F107" s="12"/>
      <c r="G107" s="12"/>
      <c r="H107" s="13"/>
    </row>
    <row r="108" spans="1:8" x14ac:dyDescent="0.25">
      <c r="A108" s="14" t="s">
        <v>168</v>
      </c>
      <c r="B108" s="12">
        <v>4</v>
      </c>
      <c r="C108" s="12">
        <v>1</v>
      </c>
      <c r="D108" s="12" t="s">
        <v>83</v>
      </c>
      <c r="E108" s="12">
        <f t="shared" si="6"/>
        <v>4</v>
      </c>
      <c r="F108" s="12"/>
      <c r="G108" s="12"/>
      <c r="H108" s="13"/>
    </row>
    <row r="109" spans="1:8" x14ac:dyDescent="0.25">
      <c r="A109" s="14" t="s">
        <v>169</v>
      </c>
      <c r="B109" s="12">
        <v>1</v>
      </c>
      <c r="C109" s="12">
        <v>20.11</v>
      </c>
      <c r="D109" s="12" t="s">
        <v>170</v>
      </c>
      <c r="E109" s="12">
        <f t="shared" si="6"/>
        <v>20.11</v>
      </c>
      <c r="F109" s="12"/>
      <c r="G109" s="12"/>
      <c r="H109" s="13"/>
    </row>
    <row r="110" spans="1:8" x14ac:dyDescent="0.25">
      <c r="A110" s="14" t="s">
        <v>171</v>
      </c>
      <c r="B110" s="12">
        <v>1</v>
      </c>
      <c r="C110" s="12">
        <v>17.3</v>
      </c>
      <c r="D110" s="12" t="s">
        <v>86</v>
      </c>
      <c r="E110" s="12">
        <f t="shared" si="6"/>
        <v>17.3</v>
      </c>
      <c r="F110" s="12"/>
      <c r="G110" s="12"/>
      <c r="H110" s="13"/>
    </row>
    <row r="111" spans="1:8" x14ac:dyDescent="0.25">
      <c r="A111" s="14"/>
      <c r="B111" s="14"/>
      <c r="C111" s="14"/>
      <c r="D111" s="14"/>
      <c r="E111" s="14">
        <f>SUM(E102:E110)</f>
        <v>94.16</v>
      </c>
      <c r="F111" s="12"/>
      <c r="G111" s="12"/>
      <c r="H111" s="13"/>
    </row>
    <row r="112" spans="1:8" x14ac:dyDescent="0.25">
      <c r="A112" s="13"/>
      <c r="B112" s="13"/>
      <c r="C112" s="13"/>
      <c r="D112" s="13"/>
      <c r="E112" s="13"/>
      <c r="F112" s="13"/>
      <c r="G112" s="13"/>
      <c r="H112" s="13"/>
    </row>
    <row r="113" spans="1:8" x14ac:dyDescent="0.25">
      <c r="A113" s="13"/>
      <c r="B113" s="13"/>
      <c r="C113" s="13"/>
      <c r="D113" s="13"/>
      <c r="E113" s="13"/>
      <c r="F113" s="13"/>
      <c r="G113" s="13"/>
      <c r="H113" s="13"/>
    </row>
    <row r="114" spans="1:8" ht="26.25" x14ac:dyDescent="0.25">
      <c r="A114" s="23" t="s">
        <v>172</v>
      </c>
      <c r="B114" s="24"/>
      <c r="C114" s="24"/>
      <c r="D114" s="24"/>
      <c r="E114" s="25"/>
      <c r="F114" s="13"/>
      <c r="G114" s="13"/>
      <c r="H114" s="13"/>
    </row>
    <row r="115" spans="1:8" x14ac:dyDescent="0.25">
      <c r="A115" s="12" t="s">
        <v>0</v>
      </c>
      <c r="B115" s="12" t="s">
        <v>3</v>
      </c>
      <c r="C115" s="12" t="s">
        <v>56</v>
      </c>
      <c r="D115" s="12" t="s">
        <v>81</v>
      </c>
      <c r="E115" s="12" t="s">
        <v>1</v>
      </c>
      <c r="F115" s="13"/>
      <c r="G115" s="13"/>
      <c r="H115" s="13"/>
    </row>
    <row r="116" spans="1:8" x14ac:dyDescent="0.25">
      <c r="A116" s="14" t="s">
        <v>175</v>
      </c>
      <c r="B116" s="12">
        <v>17.388000000000002</v>
      </c>
      <c r="C116" s="12">
        <v>7.3</v>
      </c>
      <c r="D116" s="12" t="s">
        <v>88</v>
      </c>
      <c r="E116" s="12">
        <f t="shared" ref="E116:E121" si="7">B116*C116</f>
        <v>126.93240000000002</v>
      </c>
      <c r="F116" s="13"/>
      <c r="G116" s="13"/>
      <c r="H116" s="13"/>
    </row>
    <row r="117" spans="1:8" x14ac:dyDescent="0.25">
      <c r="A117" s="14" t="s">
        <v>176</v>
      </c>
      <c r="B117" s="12">
        <v>3</v>
      </c>
      <c r="C117" s="12">
        <v>5.46</v>
      </c>
      <c r="D117" s="12" t="s">
        <v>88</v>
      </c>
      <c r="E117" s="12">
        <f t="shared" si="7"/>
        <v>16.38</v>
      </c>
      <c r="F117" s="13"/>
      <c r="G117" s="13"/>
      <c r="H117" s="13"/>
    </row>
    <row r="118" spans="1:8" x14ac:dyDescent="0.25">
      <c r="A118" s="14" t="s">
        <v>177</v>
      </c>
      <c r="B118" s="12">
        <v>40.572000000000003</v>
      </c>
      <c r="C118" s="12">
        <v>7.23</v>
      </c>
      <c r="D118" s="12" t="s">
        <v>88</v>
      </c>
      <c r="E118" s="12">
        <f t="shared" si="7"/>
        <v>293.33556000000004</v>
      </c>
      <c r="F118" s="13"/>
      <c r="G118" s="13"/>
      <c r="H118" s="13"/>
    </row>
    <row r="119" spans="1:8" x14ac:dyDescent="0.25">
      <c r="A119" s="14" t="s">
        <v>288</v>
      </c>
      <c r="B119" s="12">
        <v>0</v>
      </c>
      <c r="C119" s="12">
        <v>9.5299999999999994</v>
      </c>
      <c r="D119" s="12" t="s">
        <v>88</v>
      </c>
      <c r="E119" s="12">
        <f t="shared" si="7"/>
        <v>0</v>
      </c>
      <c r="F119" s="13"/>
      <c r="G119" s="13"/>
      <c r="H119" s="13"/>
    </row>
    <row r="120" spans="1:8" x14ac:dyDescent="0.25">
      <c r="A120" s="14" t="s">
        <v>289</v>
      </c>
      <c r="B120" s="12">
        <v>11.59</v>
      </c>
      <c r="C120" s="12">
        <v>13.87</v>
      </c>
      <c r="D120" s="12" t="s">
        <v>88</v>
      </c>
      <c r="E120" s="12">
        <f t="shared" si="7"/>
        <v>160.7533</v>
      </c>
      <c r="F120" s="13"/>
      <c r="G120" s="13"/>
      <c r="H120" s="13"/>
    </row>
    <row r="121" spans="1:8" x14ac:dyDescent="0.25">
      <c r="A121" s="14" t="s">
        <v>375</v>
      </c>
      <c r="B121" s="12">
        <v>5.7960000000000003</v>
      </c>
      <c r="C121" s="12">
        <v>30</v>
      </c>
      <c r="D121" s="12" t="s">
        <v>88</v>
      </c>
      <c r="E121" s="12">
        <f t="shared" si="7"/>
        <v>173.88</v>
      </c>
      <c r="F121" s="13"/>
      <c r="G121" s="13"/>
      <c r="H121" s="13"/>
    </row>
    <row r="122" spans="1:8" x14ac:dyDescent="0.25">
      <c r="A122" s="14"/>
      <c r="B122" s="12"/>
      <c r="C122" s="12"/>
      <c r="D122" s="12"/>
      <c r="E122" s="12"/>
      <c r="F122" s="13"/>
      <c r="G122" s="13"/>
      <c r="H122" s="13"/>
    </row>
    <row r="123" spans="1:8" x14ac:dyDescent="0.25">
      <c r="A123" s="14"/>
      <c r="B123" s="14"/>
      <c r="C123" s="14"/>
      <c r="D123" s="14"/>
      <c r="E123" s="14">
        <f>SUM(E116:E121)</f>
        <v>771.28126000000009</v>
      </c>
      <c r="F123" s="13"/>
      <c r="G123" s="13"/>
      <c r="H123" s="13"/>
    </row>
    <row r="124" spans="1:8" x14ac:dyDescent="0.25">
      <c r="A124" s="13"/>
      <c r="B124" s="13"/>
      <c r="C124" s="13"/>
      <c r="D124" s="13"/>
      <c r="E124" s="13"/>
      <c r="F124" s="13"/>
      <c r="G124" s="13"/>
      <c r="H124" s="13"/>
    </row>
    <row r="125" spans="1:8" x14ac:dyDescent="0.25">
      <c r="A125" s="13"/>
      <c r="B125" s="13"/>
      <c r="C125" s="13"/>
      <c r="D125" s="13"/>
      <c r="E125" s="13"/>
      <c r="F125" s="13"/>
      <c r="G125" s="13"/>
      <c r="H125" s="13"/>
    </row>
    <row r="126" spans="1:8" ht="26.25" x14ac:dyDescent="0.25">
      <c r="A126" s="23" t="s">
        <v>173</v>
      </c>
      <c r="B126" s="24"/>
      <c r="C126" s="24"/>
      <c r="D126" s="24"/>
      <c r="E126" s="25"/>
      <c r="F126" s="13"/>
      <c r="G126" s="13"/>
      <c r="H126" s="13"/>
    </row>
    <row r="127" spans="1:8" x14ac:dyDescent="0.25">
      <c r="A127" s="12" t="s">
        <v>0</v>
      </c>
      <c r="B127" s="12" t="s">
        <v>3</v>
      </c>
      <c r="C127" s="12" t="s">
        <v>56</v>
      </c>
      <c r="D127" s="12" t="s">
        <v>81</v>
      </c>
      <c r="E127" s="12" t="s">
        <v>1</v>
      </c>
      <c r="F127" s="13"/>
      <c r="G127" s="13"/>
      <c r="H127" s="13"/>
    </row>
    <row r="128" spans="1:8" x14ac:dyDescent="0.25">
      <c r="A128" s="14" t="s">
        <v>117</v>
      </c>
      <c r="B128" s="12">
        <v>60</v>
      </c>
      <c r="C128" s="12">
        <v>0.33</v>
      </c>
      <c r="D128" s="12" t="s">
        <v>84</v>
      </c>
      <c r="E128" s="14">
        <f>+B128*C128</f>
        <v>19.8</v>
      </c>
      <c r="F128" s="13"/>
      <c r="G128" s="13"/>
      <c r="H128" s="13"/>
    </row>
    <row r="129" spans="1:8" x14ac:dyDescent="0.25">
      <c r="A129" s="14" t="s">
        <v>188</v>
      </c>
      <c r="B129" s="12">
        <v>35</v>
      </c>
      <c r="C129" s="20">
        <v>0.38666666</v>
      </c>
      <c r="D129" s="12" t="s">
        <v>84</v>
      </c>
      <c r="E129" s="14">
        <f>+B129*C129</f>
        <v>13.5333331</v>
      </c>
      <c r="F129" s="13"/>
      <c r="G129" s="13"/>
      <c r="H129" s="13"/>
    </row>
    <row r="130" spans="1:8" x14ac:dyDescent="0.25">
      <c r="A130" s="14" t="s">
        <v>190</v>
      </c>
      <c r="B130" s="12">
        <v>28</v>
      </c>
      <c r="C130" s="20">
        <v>0.38666666</v>
      </c>
      <c r="D130" s="12" t="s">
        <v>84</v>
      </c>
      <c r="E130" s="14">
        <f>+B130*C130</f>
        <v>10.82666648</v>
      </c>
      <c r="F130" s="13"/>
      <c r="G130" s="13"/>
      <c r="H130" s="13"/>
    </row>
    <row r="131" spans="1:8" x14ac:dyDescent="0.25">
      <c r="A131" s="14" t="s">
        <v>189</v>
      </c>
      <c r="B131" s="12">
        <v>25</v>
      </c>
      <c r="C131" s="20">
        <v>0.38666666</v>
      </c>
      <c r="D131" s="12" t="s">
        <v>84</v>
      </c>
      <c r="E131" s="14">
        <f>+B131*C131</f>
        <v>9.6666664999999998</v>
      </c>
      <c r="F131" s="13"/>
      <c r="G131" s="13"/>
      <c r="H131" s="13"/>
    </row>
    <row r="132" spans="1:8" x14ac:dyDescent="0.25">
      <c r="A132" s="14" t="s">
        <v>283</v>
      </c>
      <c r="B132" s="12">
        <v>50</v>
      </c>
      <c r="C132" s="20">
        <v>0.38666666</v>
      </c>
      <c r="D132" s="12" t="s">
        <v>84</v>
      </c>
      <c r="E132" s="14">
        <f t="shared" ref="E132:E145" si="8">+B132*C132</f>
        <v>19.333333</v>
      </c>
      <c r="F132" s="13"/>
      <c r="G132" s="13"/>
      <c r="H132" s="13"/>
    </row>
    <row r="133" spans="1:8" x14ac:dyDescent="0.25">
      <c r="A133" s="14" t="s">
        <v>192</v>
      </c>
      <c r="B133" s="12">
        <v>39</v>
      </c>
      <c r="C133" s="20">
        <v>0.38666666</v>
      </c>
      <c r="D133" s="12" t="s">
        <v>84</v>
      </c>
      <c r="E133" s="14">
        <f>+B133*C133</f>
        <v>15.07999974</v>
      </c>
      <c r="F133" s="13"/>
      <c r="G133" s="13"/>
      <c r="H133" s="13"/>
    </row>
    <row r="134" spans="1:8" x14ac:dyDescent="0.25">
      <c r="A134" s="14" t="s">
        <v>198</v>
      </c>
      <c r="B134" s="12">
        <v>26</v>
      </c>
      <c r="C134" s="20">
        <v>0.38666666</v>
      </c>
      <c r="D134" s="12" t="s">
        <v>84</v>
      </c>
      <c r="E134" s="14">
        <f>+B134*C134</f>
        <v>10.053333159999999</v>
      </c>
      <c r="F134" s="13"/>
      <c r="G134" s="13"/>
      <c r="H134" s="13"/>
    </row>
    <row r="135" spans="1:8" x14ac:dyDescent="0.25">
      <c r="A135" s="14" t="s">
        <v>199</v>
      </c>
      <c r="B135" s="12">
        <v>3.5</v>
      </c>
      <c r="C135" s="20">
        <v>0.38666666</v>
      </c>
      <c r="D135" s="12" t="s">
        <v>84</v>
      </c>
      <c r="E135" s="14">
        <f t="shared" ref="E135:E136" si="9">+B135*C135</f>
        <v>1.35333331</v>
      </c>
      <c r="F135" s="13"/>
      <c r="G135" s="13"/>
      <c r="H135" s="13"/>
    </row>
    <row r="136" spans="1:8" x14ac:dyDescent="0.25">
      <c r="A136" s="14" t="s">
        <v>200</v>
      </c>
      <c r="B136" s="12">
        <v>15</v>
      </c>
      <c r="C136" s="20">
        <v>0.38666666</v>
      </c>
      <c r="D136" s="12" t="s">
        <v>84</v>
      </c>
      <c r="E136" s="14">
        <f t="shared" si="9"/>
        <v>5.7999998999999995</v>
      </c>
      <c r="F136" s="13"/>
      <c r="G136" s="13"/>
      <c r="H136" s="13"/>
    </row>
    <row r="137" spans="1:8" x14ac:dyDescent="0.25">
      <c r="A137" s="14" t="s">
        <v>187</v>
      </c>
      <c r="B137" s="12">
        <v>47</v>
      </c>
      <c r="C137" s="20">
        <v>0.38666666</v>
      </c>
      <c r="D137" s="12" t="s">
        <v>84</v>
      </c>
      <c r="E137" s="14">
        <f>+B137*C137</f>
        <v>18.173333020000001</v>
      </c>
      <c r="F137" s="13"/>
      <c r="G137" s="13"/>
      <c r="H137" s="13"/>
    </row>
    <row r="138" spans="1:8" x14ac:dyDescent="0.25">
      <c r="A138" s="14" t="s">
        <v>194</v>
      </c>
      <c r="B138" s="12">
        <v>24</v>
      </c>
      <c r="C138" s="20">
        <v>0.38666666</v>
      </c>
      <c r="D138" s="12" t="s">
        <v>84</v>
      </c>
      <c r="E138" s="14">
        <f>+B139*C138</f>
        <v>9.6666664999999998</v>
      </c>
      <c r="F138" s="13"/>
      <c r="G138" s="13"/>
      <c r="H138" s="13"/>
    </row>
    <row r="139" spans="1:8" x14ac:dyDescent="0.25">
      <c r="A139" s="14" t="s">
        <v>191</v>
      </c>
      <c r="B139" s="12">
        <v>25</v>
      </c>
      <c r="C139" s="16">
        <v>0.41399999999999998</v>
      </c>
      <c r="D139" s="12" t="s">
        <v>84</v>
      </c>
      <c r="E139" s="14">
        <f>+B138*C139</f>
        <v>9.9359999999999999</v>
      </c>
      <c r="F139" s="13"/>
      <c r="G139" s="13"/>
      <c r="H139" s="13"/>
    </row>
    <row r="140" spans="1:8" x14ac:dyDescent="0.25">
      <c r="A140" s="14" t="s">
        <v>195</v>
      </c>
      <c r="B140" s="12">
        <v>25</v>
      </c>
      <c r="C140" s="12">
        <v>0.38700000000000001</v>
      </c>
      <c r="D140" s="12" t="s">
        <v>84</v>
      </c>
      <c r="E140" s="14">
        <f t="shared" si="8"/>
        <v>9.6750000000000007</v>
      </c>
      <c r="F140" s="13"/>
      <c r="G140" s="13"/>
      <c r="H140" s="13"/>
    </row>
    <row r="141" spans="1:8" x14ac:dyDescent="0.25">
      <c r="A141" s="14" t="s">
        <v>196</v>
      </c>
      <c r="B141" s="12">
        <v>33</v>
      </c>
      <c r="C141" s="12">
        <v>0.38700000000000001</v>
      </c>
      <c r="D141" s="12" t="s">
        <v>84</v>
      </c>
      <c r="E141" s="14">
        <f t="shared" si="8"/>
        <v>12.771000000000001</v>
      </c>
      <c r="F141" s="13"/>
      <c r="G141" s="13"/>
      <c r="H141" s="13"/>
    </row>
    <row r="142" spans="1:8" x14ac:dyDescent="0.25">
      <c r="A142" s="14" t="s">
        <v>197</v>
      </c>
      <c r="B142" s="12">
        <v>49</v>
      </c>
      <c r="C142" s="12">
        <v>0.38700000000000001</v>
      </c>
      <c r="D142" s="12" t="s">
        <v>84</v>
      </c>
      <c r="E142" s="14">
        <f t="shared" si="8"/>
        <v>18.963000000000001</v>
      </c>
      <c r="F142" s="13"/>
      <c r="G142" s="13"/>
      <c r="H142" s="13"/>
    </row>
    <row r="143" spans="1:8" x14ac:dyDescent="0.25">
      <c r="A143" s="14" t="s">
        <v>193</v>
      </c>
      <c r="B143" s="12">
        <v>33</v>
      </c>
      <c r="C143" s="12">
        <v>0.38700000000000001</v>
      </c>
      <c r="D143" s="12" t="s">
        <v>84</v>
      </c>
      <c r="E143" s="14">
        <f t="shared" si="8"/>
        <v>12.771000000000001</v>
      </c>
      <c r="F143" s="13"/>
      <c r="G143" s="13"/>
      <c r="H143" s="13"/>
    </row>
    <row r="144" spans="1:8" x14ac:dyDescent="0.25">
      <c r="A144" s="14" t="s">
        <v>201</v>
      </c>
      <c r="B144" s="12">
        <v>5</v>
      </c>
      <c r="C144" s="12">
        <v>0.38700000000000001</v>
      </c>
      <c r="D144" s="12" t="s">
        <v>84</v>
      </c>
      <c r="E144" s="14">
        <f t="shared" si="8"/>
        <v>1.9350000000000001</v>
      </c>
      <c r="F144" s="13"/>
      <c r="G144" s="13"/>
      <c r="H144" s="13"/>
    </row>
    <row r="145" spans="1:8" x14ac:dyDescent="0.25">
      <c r="A145" s="14" t="s">
        <v>202</v>
      </c>
      <c r="B145" s="12">
        <v>50</v>
      </c>
      <c r="C145" s="12">
        <v>0.53359999999999996</v>
      </c>
      <c r="D145" s="12" t="s">
        <v>84</v>
      </c>
      <c r="E145" s="14">
        <f t="shared" si="8"/>
        <v>26.68</v>
      </c>
      <c r="F145" s="13"/>
      <c r="G145" s="13"/>
      <c r="H145" s="13"/>
    </row>
    <row r="146" spans="1:8" x14ac:dyDescent="0.25">
      <c r="A146" s="21"/>
      <c r="B146" s="21"/>
      <c r="C146" s="21"/>
      <c r="D146" s="21"/>
      <c r="E146" s="14">
        <f>SUM(E128:E145)</f>
        <v>226.01766471000002</v>
      </c>
      <c r="F146" s="13"/>
      <c r="G146" s="13"/>
      <c r="H146" s="13"/>
    </row>
    <row r="147" spans="1:8" x14ac:dyDescent="0.25">
      <c r="A147" s="13"/>
      <c r="B147" s="13"/>
      <c r="C147" s="13"/>
      <c r="D147" s="13"/>
      <c r="E147" s="13"/>
      <c r="F147" s="13"/>
      <c r="G147" s="13"/>
      <c r="H147" s="13"/>
    </row>
    <row r="148" spans="1:8" x14ac:dyDescent="0.25">
      <c r="A148" s="13"/>
      <c r="B148" s="13"/>
      <c r="C148" s="13"/>
      <c r="D148" s="13"/>
      <c r="E148" s="13"/>
      <c r="F148" s="13"/>
      <c r="G148" s="13"/>
      <c r="H148" s="13"/>
    </row>
    <row r="149" spans="1:8" ht="30" x14ac:dyDescent="0.25">
      <c r="A149" s="23" t="s">
        <v>293</v>
      </c>
      <c r="B149" s="24"/>
      <c r="C149" s="24"/>
      <c r="D149" s="24"/>
      <c r="E149" s="25"/>
      <c r="F149" s="15" t="s">
        <v>291</v>
      </c>
      <c r="G149" s="15" t="s">
        <v>292</v>
      </c>
      <c r="H149" s="13"/>
    </row>
    <row r="150" spans="1:8" x14ac:dyDescent="0.25">
      <c r="A150" s="12" t="s">
        <v>0</v>
      </c>
      <c r="B150" s="12" t="s">
        <v>3</v>
      </c>
      <c r="C150" s="12" t="s">
        <v>56</v>
      </c>
      <c r="D150" s="12" t="s">
        <v>81</v>
      </c>
      <c r="E150" s="12" t="s">
        <v>1</v>
      </c>
      <c r="F150" s="12"/>
      <c r="G150" s="12"/>
      <c r="H150" s="13"/>
    </row>
    <row r="151" spans="1:8" x14ac:dyDescent="0.25">
      <c r="A151" s="14" t="s">
        <v>294</v>
      </c>
      <c r="B151" s="12">
        <v>1</v>
      </c>
      <c r="C151" s="12">
        <v>319</v>
      </c>
      <c r="D151" s="12" t="s">
        <v>296</v>
      </c>
      <c r="E151" s="12">
        <f t="shared" ref="E151:E158" si="10">B151*C151</f>
        <v>319</v>
      </c>
      <c r="F151" s="12">
        <v>411006</v>
      </c>
      <c r="G151" s="12" t="s">
        <v>388</v>
      </c>
      <c r="H151" s="13"/>
    </row>
    <row r="152" spans="1:8" x14ac:dyDescent="0.25">
      <c r="A152" s="14" t="s">
        <v>295</v>
      </c>
      <c r="B152" s="12">
        <v>2</v>
      </c>
      <c r="C152" s="12">
        <v>2</v>
      </c>
      <c r="D152" s="12" t="s">
        <v>296</v>
      </c>
      <c r="E152" s="12">
        <v>45</v>
      </c>
      <c r="F152" s="12">
        <v>411009</v>
      </c>
      <c r="G152" s="12" t="s">
        <v>388</v>
      </c>
      <c r="H152" s="13"/>
    </row>
    <row r="153" spans="1:8" x14ac:dyDescent="0.25">
      <c r="A153" s="14" t="s">
        <v>297</v>
      </c>
      <c r="B153" s="12">
        <v>1</v>
      </c>
      <c r="C153" s="12">
        <v>23.9</v>
      </c>
      <c r="D153" s="12" t="s">
        <v>298</v>
      </c>
      <c r="E153" s="12">
        <f t="shared" si="10"/>
        <v>23.9</v>
      </c>
      <c r="F153" s="12">
        <v>432544</v>
      </c>
      <c r="G153" s="12" t="s">
        <v>388</v>
      </c>
      <c r="H153" s="13"/>
    </row>
    <row r="154" spans="1:8" x14ac:dyDescent="0.25">
      <c r="A154" s="14" t="s">
        <v>302</v>
      </c>
      <c r="B154" s="12">
        <v>4</v>
      </c>
      <c r="C154" s="12">
        <v>23.24</v>
      </c>
      <c r="D154" s="12" t="s">
        <v>296</v>
      </c>
      <c r="E154" s="12">
        <f t="shared" si="10"/>
        <v>92.96</v>
      </c>
      <c r="F154" s="12">
        <v>903685</v>
      </c>
      <c r="G154" s="12" t="s">
        <v>388</v>
      </c>
      <c r="H154" s="13"/>
    </row>
    <row r="155" spans="1:8" x14ac:dyDescent="0.25">
      <c r="A155" s="14" t="s">
        <v>311</v>
      </c>
      <c r="B155" s="12">
        <v>1</v>
      </c>
      <c r="C155" s="12">
        <v>6.95</v>
      </c>
      <c r="D155" s="12" t="s">
        <v>310</v>
      </c>
      <c r="E155" s="12">
        <f t="shared" si="10"/>
        <v>6.95</v>
      </c>
      <c r="F155" s="12">
        <v>438431</v>
      </c>
      <c r="G155" s="12" t="s">
        <v>388</v>
      </c>
      <c r="H155" s="13"/>
    </row>
    <row r="156" spans="1:8" x14ac:dyDescent="0.25">
      <c r="A156" s="22" t="s">
        <v>312</v>
      </c>
      <c r="B156" s="12">
        <v>5</v>
      </c>
      <c r="C156" s="12">
        <v>1.3071999999999999</v>
      </c>
      <c r="D156" s="12" t="s">
        <v>84</v>
      </c>
      <c r="E156" s="12">
        <f t="shared" si="10"/>
        <v>6.5359999999999996</v>
      </c>
      <c r="F156" s="12">
        <v>401963</v>
      </c>
      <c r="G156" s="12" t="s">
        <v>388</v>
      </c>
      <c r="H156" s="13"/>
    </row>
    <row r="157" spans="1:8" x14ac:dyDescent="0.25">
      <c r="A157" s="13" t="s">
        <v>313</v>
      </c>
      <c r="B157" s="12">
        <v>1</v>
      </c>
      <c r="C157" s="12">
        <v>120</v>
      </c>
      <c r="D157" s="12" t="s">
        <v>84</v>
      </c>
      <c r="E157" s="12">
        <f t="shared" si="10"/>
        <v>120</v>
      </c>
      <c r="F157" s="12">
        <v>142194</v>
      </c>
      <c r="G157" s="12" t="s">
        <v>388</v>
      </c>
      <c r="H157" s="13"/>
    </row>
    <row r="158" spans="1:8" x14ac:dyDescent="0.25">
      <c r="A158" s="14" t="s">
        <v>374</v>
      </c>
      <c r="B158" s="12">
        <v>4</v>
      </c>
      <c r="C158" s="12">
        <v>5.0999999999999996</v>
      </c>
      <c r="D158" s="12"/>
      <c r="E158" s="12">
        <f t="shared" si="10"/>
        <v>20.399999999999999</v>
      </c>
      <c r="F158" s="12"/>
      <c r="G158" s="12" t="s">
        <v>388</v>
      </c>
      <c r="H158" s="13"/>
    </row>
    <row r="159" spans="1:8" x14ac:dyDescent="0.25">
      <c r="A159" s="14"/>
      <c r="B159" s="14"/>
      <c r="C159" s="14"/>
      <c r="D159" s="14"/>
      <c r="E159" s="14">
        <f>SUM(E151:E158)</f>
        <v>634.74599999999998</v>
      </c>
      <c r="F159" s="12"/>
      <c r="G159" s="12"/>
      <c r="H159" s="13"/>
    </row>
    <row r="160" spans="1:8" x14ac:dyDescent="0.25">
      <c r="A160" s="13"/>
      <c r="B160" s="13"/>
      <c r="C160" s="13"/>
      <c r="D160" s="13"/>
      <c r="E160" s="13"/>
      <c r="F160" s="13"/>
      <c r="G160" s="13"/>
      <c r="H160" s="13"/>
    </row>
    <row r="161" spans="1:8" x14ac:dyDescent="0.25">
      <c r="A161" s="13"/>
      <c r="B161" s="13"/>
      <c r="C161" s="13"/>
      <c r="D161" s="13"/>
      <c r="E161" s="13"/>
      <c r="F161" s="13"/>
      <c r="G161" s="13"/>
      <c r="H161" s="13"/>
    </row>
    <row r="162" spans="1:8" x14ac:dyDescent="0.25">
      <c r="A162" s="13"/>
      <c r="B162" s="13"/>
      <c r="C162" s="13"/>
      <c r="D162" s="13"/>
      <c r="E162" s="13"/>
      <c r="F162" s="13"/>
      <c r="G162" s="13"/>
      <c r="H162" s="13"/>
    </row>
    <row r="163" spans="1:8" x14ac:dyDescent="0.25">
      <c r="A163" s="13"/>
      <c r="B163" s="13"/>
      <c r="C163" s="13"/>
      <c r="D163" s="13"/>
      <c r="E163" s="13"/>
      <c r="F163" s="13"/>
      <c r="G163" s="13"/>
      <c r="H163" s="13"/>
    </row>
    <row r="164" spans="1:8" x14ac:dyDescent="0.25">
      <c r="A164" s="13"/>
      <c r="B164" s="13"/>
      <c r="C164" s="13"/>
      <c r="D164" s="13"/>
      <c r="E164" s="13"/>
      <c r="F164" s="13"/>
      <c r="G164" s="13"/>
      <c r="H164" s="13"/>
    </row>
    <row r="165" spans="1:8" x14ac:dyDescent="0.25">
      <c r="A165" s="13"/>
      <c r="B165" s="13"/>
      <c r="C165" s="13"/>
      <c r="D165" s="13"/>
      <c r="E165" s="13"/>
      <c r="F165" s="13"/>
      <c r="G165" s="13"/>
      <c r="H165" s="13"/>
    </row>
    <row r="166" spans="1:8" x14ac:dyDescent="0.25">
      <c r="A166" s="13"/>
      <c r="B166" s="13"/>
      <c r="C166" s="13"/>
      <c r="D166" s="13"/>
      <c r="E166" s="13"/>
      <c r="F166" s="13"/>
      <c r="G166" s="13"/>
      <c r="H166" s="13"/>
    </row>
    <row r="167" spans="1:8" x14ac:dyDescent="0.25">
      <c r="A167" s="13"/>
      <c r="B167" s="13"/>
      <c r="C167" s="13"/>
      <c r="D167" s="13"/>
      <c r="E167" s="13"/>
      <c r="F167" s="13"/>
      <c r="G167" s="13"/>
      <c r="H167" s="13"/>
    </row>
    <row r="168" spans="1:8" ht="30" x14ac:dyDescent="0.25">
      <c r="A168" s="23" t="s">
        <v>110</v>
      </c>
      <c r="B168" s="24"/>
      <c r="C168" s="24"/>
      <c r="D168" s="24"/>
      <c r="E168" s="25"/>
      <c r="F168" s="15" t="s">
        <v>291</v>
      </c>
      <c r="G168" s="15" t="s">
        <v>292</v>
      </c>
      <c r="H168" s="13"/>
    </row>
    <row r="169" spans="1:8" x14ac:dyDescent="0.25">
      <c r="A169" s="12" t="s">
        <v>0</v>
      </c>
      <c r="B169" s="12" t="s">
        <v>3</v>
      </c>
      <c r="C169" s="12" t="s">
        <v>56</v>
      </c>
      <c r="D169" s="12" t="s">
        <v>81</v>
      </c>
      <c r="E169" s="12" t="s">
        <v>1</v>
      </c>
      <c r="F169" s="12"/>
      <c r="G169" s="12"/>
      <c r="H169" s="13"/>
    </row>
    <row r="170" spans="1:8" x14ac:dyDescent="0.25">
      <c r="A170" s="14"/>
      <c r="B170" s="12"/>
      <c r="C170" s="12"/>
      <c r="D170" s="12"/>
      <c r="E170" s="12"/>
      <c r="F170" s="12"/>
      <c r="G170" s="12"/>
      <c r="H170" s="13"/>
    </row>
    <row r="171" spans="1:8" x14ac:dyDescent="0.25">
      <c r="A171" s="14" t="s">
        <v>305</v>
      </c>
      <c r="B171" s="12">
        <v>40</v>
      </c>
      <c r="C171" s="12">
        <v>3</v>
      </c>
      <c r="D171" s="12" t="s">
        <v>81</v>
      </c>
      <c r="E171" s="12">
        <f t="shared" ref="E171:E186" si="11">B171*C171</f>
        <v>120</v>
      </c>
      <c r="F171" s="12">
        <v>283222</v>
      </c>
      <c r="G171" s="12" t="s">
        <v>388</v>
      </c>
      <c r="H171" s="13"/>
    </row>
    <row r="172" spans="1:8" x14ac:dyDescent="0.25">
      <c r="A172" s="14" t="s">
        <v>304</v>
      </c>
      <c r="B172" s="12">
        <v>15</v>
      </c>
      <c r="C172" s="12">
        <v>4.2699999999999996</v>
      </c>
      <c r="D172" s="12" t="s">
        <v>81</v>
      </c>
      <c r="E172" s="12">
        <f t="shared" si="11"/>
        <v>64.05</v>
      </c>
      <c r="F172" s="12">
        <v>216489</v>
      </c>
      <c r="G172" s="12" t="s">
        <v>388</v>
      </c>
      <c r="H172" s="13"/>
    </row>
    <row r="173" spans="1:8" x14ac:dyDescent="0.25">
      <c r="A173" s="14" t="s">
        <v>306</v>
      </c>
      <c r="B173" s="12">
        <v>9</v>
      </c>
      <c r="C173" s="12">
        <v>3.31</v>
      </c>
      <c r="D173" s="12" t="s">
        <v>81</v>
      </c>
      <c r="E173" s="12">
        <f t="shared" si="11"/>
        <v>29.79</v>
      </c>
      <c r="F173" s="12">
        <v>216510</v>
      </c>
      <c r="G173" s="12" t="s">
        <v>388</v>
      </c>
      <c r="H173" s="13"/>
    </row>
    <row r="174" spans="1:8" x14ac:dyDescent="0.25">
      <c r="A174" s="14" t="s">
        <v>327</v>
      </c>
      <c r="B174" s="12">
        <v>5</v>
      </c>
      <c r="C174" s="12">
        <v>9.35</v>
      </c>
      <c r="D174" s="12" t="s">
        <v>81</v>
      </c>
      <c r="E174" s="12">
        <f t="shared" si="11"/>
        <v>46.75</v>
      </c>
      <c r="F174" s="12">
        <v>219562</v>
      </c>
      <c r="G174" s="12" t="s">
        <v>388</v>
      </c>
      <c r="H174" s="13"/>
    </row>
    <row r="175" spans="1:8" x14ac:dyDescent="0.25">
      <c r="A175" s="14" t="s">
        <v>328</v>
      </c>
      <c r="B175" s="12">
        <v>10</v>
      </c>
      <c r="C175" s="12">
        <v>7.81</v>
      </c>
      <c r="D175" s="12" t="s">
        <v>81</v>
      </c>
      <c r="E175" s="12">
        <f t="shared" si="11"/>
        <v>78.099999999999994</v>
      </c>
      <c r="F175" s="12">
        <v>219548</v>
      </c>
      <c r="G175" s="12" t="s">
        <v>388</v>
      </c>
      <c r="H175" s="13"/>
    </row>
    <row r="176" spans="1:8" x14ac:dyDescent="0.25">
      <c r="A176" s="14" t="s">
        <v>309</v>
      </c>
      <c r="B176" s="12">
        <v>3</v>
      </c>
      <c r="C176" s="12">
        <v>24.55</v>
      </c>
      <c r="D176" s="12" t="s">
        <v>329</v>
      </c>
      <c r="E176" s="12">
        <f t="shared" si="11"/>
        <v>73.650000000000006</v>
      </c>
      <c r="F176" s="12">
        <v>241033</v>
      </c>
      <c r="G176" s="12" t="s">
        <v>388</v>
      </c>
      <c r="H176" s="13"/>
    </row>
    <row r="177" spans="1:8" x14ac:dyDescent="0.25">
      <c r="A177" s="14" t="s">
        <v>331</v>
      </c>
      <c r="B177" s="12">
        <v>0</v>
      </c>
      <c r="C177" s="12">
        <v>24.84</v>
      </c>
      <c r="D177" s="12" t="s">
        <v>329</v>
      </c>
      <c r="E177" s="12">
        <f t="shared" si="11"/>
        <v>0</v>
      </c>
      <c r="F177" s="12">
        <v>241098</v>
      </c>
      <c r="G177" s="12" t="s">
        <v>388</v>
      </c>
      <c r="H177" s="13"/>
    </row>
    <row r="178" spans="1:8" x14ac:dyDescent="0.25">
      <c r="A178" s="14" t="s">
        <v>314</v>
      </c>
      <c r="B178" s="12">
        <v>0</v>
      </c>
      <c r="C178" s="12">
        <v>25.12</v>
      </c>
      <c r="D178" s="12" t="s">
        <v>329</v>
      </c>
      <c r="E178" s="12">
        <f t="shared" si="11"/>
        <v>0</v>
      </c>
      <c r="F178" s="12">
        <v>241123</v>
      </c>
      <c r="G178" s="12" t="s">
        <v>388</v>
      </c>
      <c r="H178" s="13"/>
    </row>
    <row r="179" spans="1:8" x14ac:dyDescent="0.25">
      <c r="A179" s="14" t="s">
        <v>315</v>
      </c>
      <c r="B179" s="12">
        <v>1</v>
      </c>
      <c r="C179" s="12">
        <v>25.38</v>
      </c>
      <c r="D179" s="12" t="s">
        <v>329</v>
      </c>
      <c r="E179" s="12">
        <f t="shared" si="11"/>
        <v>25.38</v>
      </c>
      <c r="F179" s="12">
        <v>241133</v>
      </c>
      <c r="G179" s="12" t="s">
        <v>388</v>
      </c>
      <c r="H179" s="13"/>
    </row>
    <row r="180" spans="1:8" x14ac:dyDescent="0.25">
      <c r="A180" s="14" t="s">
        <v>330</v>
      </c>
      <c r="B180" s="12">
        <v>1</v>
      </c>
      <c r="C180" s="12">
        <v>25.38</v>
      </c>
      <c r="D180" s="12" t="s">
        <v>329</v>
      </c>
      <c r="E180" s="12">
        <f t="shared" si="11"/>
        <v>25.38</v>
      </c>
      <c r="F180" s="12">
        <v>241138</v>
      </c>
      <c r="G180" s="12" t="s">
        <v>388</v>
      </c>
      <c r="H180" s="13"/>
    </row>
    <row r="181" spans="1:8" x14ac:dyDescent="0.25">
      <c r="A181" s="14" t="s">
        <v>316</v>
      </c>
      <c r="B181" s="12">
        <v>2</v>
      </c>
      <c r="C181" s="12">
        <v>29.89</v>
      </c>
      <c r="D181" s="12" t="s">
        <v>329</v>
      </c>
      <c r="E181" s="12">
        <f t="shared" si="11"/>
        <v>59.78</v>
      </c>
      <c r="F181" s="12">
        <v>241173</v>
      </c>
      <c r="G181" s="12" t="s">
        <v>388</v>
      </c>
      <c r="H181" s="13"/>
    </row>
    <row r="182" spans="1:8" x14ac:dyDescent="0.25">
      <c r="A182" s="14" t="s">
        <v>317</v>
      </c>
      <c r="B182" s="12">
        <v>0</v>
      </c>
      <c r="C182" s="12">
        <v>30.22</v>
      </c>
      <c r="D182" s="12" t="s">
        <v>329</v>
      </c>
      <c r="E182" s="12">
        <f t="shared" si="11"/>
        <v>0</v>
      </c>
      <c r="F182" s="12">
        <v>241193</v>
      </c>
      <c r="G182" s="12" t="s">
        <v>388</v>
      </c>
      <c r="H182" s="13"/>
    </row>
    <row r="183" spans="1:8" x14ac:dyDescent="0.25">
      <c r="A183" s="14" t="s">
        <v>318</v>
      </c>
      <c r="B183" s="12">
        <v>1</v>
      </c>
      <c r="C183" s="12">
        <v>35.01</v>
      </c>
      <c r="D183" s="12" t="s">
        <v>329</v>
      </c>
      <c r="E183" s="12">
        <f t="shared" si="11"/>
        <v>35.01</v>
      </c>
      <c r="F183" s="12">
        <v>241243</v>
      </c>
      <c r="G183" s="12" t="s">
        <v>388</v>
      </c>
      <c r="H183" s="13"/>
    </row>
    <row r="184" spans="1:8" x14ac:dyDescent="0.25">
      <c r="A184" s="14" t="s">
        <v>391</v>
      </c>
      <c r="B184" s="12">
        <v>1</v>
      </c>
      <c r="C184" s="12">
        <v>35.01</v>
      </c>
      <c r="D184" s="12" t="s">
        <v>329</v>
      </c>
      <c r="E184" s="12">
        <f t="shared" si="11"/>
        <v>35.01</v>
      </c>
      <c r="F184" s="12">
        <v>241243</v>
      </c>
      <c r="G184" s="12" t="s">
        <v>388</v>
      </c>
      <c r="H184" s="13"/>
    </row>
    <row r="185" spans="1:8" x14ac:dyDescent="0.25">
      <c r="A185" s="14" t="s">
        <v>320</v>
      </c>
      <c r="B185" s="12">
        <v>3</v>
      </c>
      <c r="C185" s="12">
        <v>42.51</v>
      </c>
      <c r="D185" s="12" t="s">
        <v>329</v>
      </c>
      <c r="E185" s="12">
        <f t="shared" si="11"/>
        <v>127.53</v>
      </c>
      <c r="F185" s="12">
        <v>241278</v>
      </c>
      <c r="G185" s="12" t="s">
        <v>388</v>
      </c>
      <c r="H185" s="13"/>
    </row>
    <row r="186" spans="1:8" x14ac:dyDescent="0.25">
      <c r="A186" s="14" t="s">
        <v>326</v>
      </c>
      <c r="B186" s="12">
        <v>1</v>
      </c>
      <c r="C186" s="12">
        <v>26.68</v>
      </c>
      <c r="D186" s="12" t="s">
        <v>329</v>
      </c>
      <c r="E186" s="12">
        <f t="shared" si="11"/>
        <v>26.68</v>
      </c>
      <c r="F186" s="12">
        <v>240402</v>
      </c>
      <c r="G186" s="12" t="s">
        <v>388</v>
      </c>
      <c r="H186" s="13"/>
    </row>
    <row r="187" spans="1:8" x14ac:dyDescent="0.25">
      <c r="A187" s="14" t="s">
        <v>325</v>
      </c>
      <c r="B187" s="12">
        <v>3</v>
      </c>
      <c r="C187" s="12">
        <v>28.6</v>
      </c>
      <c r="D187" s="12" t="s">
        <v>329</v>
      </c>
      <c r="E187" s="12">
        <f>B187*C187</f>
        <v>85.800000000000011</v>
      </c>
      <c r="F187" s="12">
        <v>240437</v>
      </c>
      <c r="G187" s="12" t="s">
        <v>388</v>
      </c>
      <c r="H187" s="13"/>
    </row>
    <row r="188" spans="1:8" x14ac:dyDescent="0.25">
      <c r="A188" s="14" t="s">
        <v>321</v>
      </c>
      <c r="B188" s="12">
        <v>3</v>
      </c>
      <c r="C188" s="12">
        <v>1.4</v>
      </c>
      <c r="D188" s="12" t="s">
        <v>81</v>
      </c>
      <c r="E188" s="12">
        <f t="shared" ref="E188:E235" si="12">B188*C188</f>
        <v>4.1999999999999993</v>
      </c>
      <c r="F188" s="12">
        <v>245388</v>
      </c>
      <c r="G188" s="12" t="s">
        <v>388</v>
      </c>
      <c r="H188" s="13"/>
    </row>
    <row r="189" spans="1:8" x14ac:dyDescent="0.25">
      <c r="A189" s="14" t="s">
        <v>322</v>
      </c>
      <c r="B189" s="12">
        <v>3</v>
      </c>
      <c r="C189" s="12">
        <v>1.4</v>
      </c>
      <c r="D189" s="12" t="s">
        <v>81</v>
      </c>
      <c r="E189" s="12">
        <f t="shared" si="12"/>
        <v>4.1999999999999993</v>
      </c>
      <c r="F189" s="12">
        <v>245381</v>
      </c>
      <c r="G189" s="12" t="s">
        <v>388</v>
      </c>
      <c r="H189" s="13"/>
    </row>
    <row r="190" spans="1:8" x14ac:dyDescent="0.25">
      <c r="A190" s="14" t="s">
        <v>323</v>
      </c>
      <c r="B190" s="12">
        <v>5</v>
      </c>
      <c r="C190" s="12">
        <v>0.9</v>
      </c>
      <c r="D190" s="12" t="s">
        <v>81</v>
      </c>
      <c r="E190" s="12">
        <f t="shared" si="12"/>
        <v>4.5</v>
      </c>
      <c r="F190" s="12">
        <v>245966</v>
      </c>
      <c r="G190" s="12" t="s">
        <v>388</v>
      </c>
      <c r="H190" s="13"/>
    </row>
    <row r="191" spans="1:8" x14ac:dyDescent="0.25">
      <c r="A191" s="14" t="s">
        <v>324</v>
      </c>
      <c r="B191" s="12">
        <v>5</v>
      </c>
      <c r="C191" s="12">
        <v>0.9</v>
      </c>
      <c r="D191" s="12" t="s">
        <v>81</v>
      </c>
      <c r="E191" s="12">
        <f t="shared" si="12"/>
        <v>4.5</v>
      </c>
      <c r="F191" s="12">
        <v>245959</v>
      </c>
      <c r="G191" s="12" t="s">
        <v>388</v>
      </c>
      <c r="H191" s="13"/>
    </row>
    <row r="192" spans="1:8" x14ac:dyDescent="0.25">
      <c r="A192" s="14" t="s">
        <v>338</v>
      </c>
      <c r="B192" s="12">
        <v>4</v>
      </c>
      <c r="C192" s="12">
        <v>15.35</v>
      </c>
      <c r="D192" s="12" t="s">
        <v>81</v>
      </c>
      <c r="E192" s="12">
        <f t="shared" si="12"/>
        <v>61.4</v>
      </c>
      <c r="F192" s="12">
        <v>240123</v>
      </c>
      <c r="G192" s="12" t="s">
        <v>388</v>
      </c>
      <c r="H192" s="13"/>
    </row>
    <row r="193" spans="1:8" x14ac:dyDescent="0.25">
      <c r="A193" s="14" t="s">
        <v>339</v>
      </c>
      <c r="B193" s="12">
        <v>2</v>
      </c>
      <c r="C193" s="12">
        <v>15.35</v>
      </c>
      <c r="D193" s="12" t="s">
        <v>81</v>
      </c>
      <c r="E193" s="12">
        <f t="shared" si="12"/>
        <v>30.7</v>
      </c>
      <c r="F193" s="12">
        <v>240083</v>
      </c>
      <c r="G193" s="12" t="s">
        <v>388</v>
      </c>
      <c r="H193" s="13"/>
    </row>
    <row r="194" spans="1:8" x14ac:dyDescent="0.25">
      <c r="A194" s="14" t="s">
        <v>340</v>
      </c>
      <c r="B194" s="12">
        <v>4</v>
      </c>
      <c r="C194" s="12">
        <v>18.760000000000002</v>
      </c>
      <c r="D194" s="12" t="s">
        <v>81</v>
      </c>
      <c r="E194" s="12">
        <f t="shared" si="12"/>
        <v>75.040000000000006</v>
      </c>
      <c r="F194" s="12">
        <v>240038</v>
      </c>
      <c r="G194" s="12" t="s">
        <v>388</v>
      </c>
      <c r="H194" s="13"/>
    </row>
    <row r="195" spans="1:8" x14ac:dyDescent="0.25">
      <c r="A195" s="14" t="s">
        <v>341</v>
      </c>
      <c r="B195" s="12">
        <v>3</v>
      </c>
      <c r="C195" s="12">
        <v>18.760000000000002</v>
      </c>
      <c r="D195" s="12" t="s">
        <v>81</v>
      </c>
      <c r="E195" s="12">
        <f t="shared" si="12"/>
        <v>56.28</v>
      </c>
      <c r="F195" s="12">
        <v>240008</v>
      </c>
      <c r="G195" s="12" t="s">
        <v>388</v>
      </c>
      <c r="H195" s="13"/>
    </row>
    <row r="196" spans="1:8" x14ac:dyDescent="0.25">
      <c r="A196" s="14" t="s">
        <v>224</v>
      </c>
      <c r="B196" s="12">
        <v>8</v>
      </c>
      <c r="C196" s="12">
        <v>0.89</v>
      </c>
      <c r="D196" s="12" t="s">
        <v>81</v>
      </c>
      <c r="E196" s="12">
        <f t="shared" si="12"/>
        <v>7.12</v>
      </c>
      <c r="F196" s="12">
        <v>213899</v>
      </c>
      <c r="G196" s="12" t="s">
        <v>388</v>
      </c>
      <c r="H196" s="13"/>
    </row>
    <row r="197" spans="1:8" x14ac:dyDescent="0.25">
      <c r="A197" s="14" t="s">
        <v>225</v>
      </c>
      <c r="B197" s="12">
        <v>15</v>
      </c>
      <c r="C197" s="12">
        <v>0.79</v>
      </c>
      <c r="D197" s="12" t="s">
        <v>81</v>
      </c>
      <c r="E197" s="12">
        <f t="shared" si="12"/>
        <v>11.850000000000001</v>
      </c>
      <c r="F197" s="12">
        <v>213871</v>
      </c>
      <c r="G197" s="12" t="s">
        <v>388</v>
      </c>
      <c r="H197" s="13"/>
    </row>
    <row r="198" spans="1:8" x14ac:dyDescent="0.25">
      <c r="A198" s="14" t="s">
        <v>226</v>
      </c>
      <c r="B198" s="12">
        <v>13</v>
      </c>
      <c r="C198" s="12">
        <v>0.6</v>
      </c>
      <c r="D198" s="12" t="s">
        <v>81</v>
      </c>
      <c r="E198" s="12">
        <f t="shared" si="12"/>
        <v>7.8</v>
      </c>
      <c r="F198" s="12">
        <v>247957</v>
      </c>
      <c r="G198" s="12" t="s">
        <v>388</v>
      </c>
      <c r="H198" s="13"/>
    </row>
    <row r="199" spans="1:8" x14ac:dyDescent="0.25">
      <c r="A199" s="14" t="s">
        <v>334</v>
      </c>
      <c r="B199" s="12">
        <v>0</v>
      </c>
      <c r="C199" s="12">
        <v>2.13</v>
      </c>
      <c r="D199" s="12" t="s">
        <v>81</v>
      </c>
      <c r="E199" s="12">
        <f t="shared" si="12"/>
        <v>0</v>
      </c>
      <c r="F199" s="12">
        <v>257512</v>
      </c>
      <c r="G199" s="12" t="s">
        <v>388</v>
      </c>
      <c r="H199" s="13"/>
    </row>
    <row r="200" spans="1:8" x14ac:dyDescent="0.25">
      <c r="A200" s="14" t="s">
        <v>335</v>
      </c>
      <c r="B200" s="12">
        <v>0</v>
      </c>
      <c r="C200" s="12">
        <v>2.13</v>
      </c>
      <c r="D200" s="12" t="s">
        <v>81</v>
      </c>
      <c r="E200" s="12">
        <f t="shared" si="12"/>
        <v>0</v>
      </c>
      <c r="F200" s="12">
        <v>257505</v>
      </c>
      <c r="G200" s="12" t="s">
        <v>388</v>
      </c>
      <c r="H200" s="13"/>
    </row>
    <row r="201" spans="1:8" x14ac:dyDescent="0.25">
      <c r="A201" s="14" t="s">
        <v>332</v>
      </c>
      <c r="B201" s="12">
        <v>39</v>
      </c>
      <c r="C201" s="12">
        <v>1.76</v>
      </c>
      <c r="D201" s="12" t="s">
        <v>81</v>
      </c>
      <c r="E201" s="12">
        <f t="shared" si="12"/>
        <v>68.64</v>
      </c>
      <c r="F201" s="12">
        <v>216566</v>
      </c>
      <c r="G201" s="12" t="s">
        <v>388</v>
      </c>
      <c r="H201" s="13"/>
    </row>
    <row r="202" spans="1:8" x14ac:dyDescent="0.25">
      <c r="A202" s="14" t="s">
        <v>333</v>
      </c>
      <c r="B202" s="12">
        <v>23</v>
      </c>
      <c r="C202" s="12">
        <v>0.4</v>
      </c>
      <c r="D202" s="12" t="s">
        <v>81</v>
      </c>
      <c r="E202" s="12">
        <f t="shared" si="12"/>
        <v>9.2000000000000011</v>
      </c>
      <c r="F202" s="12">
        <v>232505</v>
      </c>
      <c r="G202" s="12" t="s">
        <v>388</v>
      </c>
      <c r="H202" s="13"/>
    </row>
    <row r="203" spans="1:8" x14ac:dyDescent="0.25">
      <c r="A203" s="14" t="s">
        <v>336</v>
      </c>
      <c r="B203" s="12">
        <v>10</v>
      </c>
      <c r="C203" s="12">
        <v>0.39</v>
      </c>
      <c r="D203" s="12" t="s">
        <v>81</v>
      </c>
      <c r="E203" s="12">
        <f t="shared" si="12"/>
        <v>3.9000000000000004</v>
      </c>
      <c r="F203" s="12">
        <v>258884</v>
      </c>
      <c r="G203" s="12" t="s">
        <v>388</v>
      </c>
      <c r="H203" s="13"/>
    </row>
    <row r="204" spans="1:8" x14ac:dyDescent="0.25">
      <c r="A204" s="14" t="s">
        <v>337</v>
      </c>
      <c r="B204" s="12">
        <v>10</v>
      </c>
      <c r="C204" s="12">
        <v>0.39</v>
      </c>
      <c r="D204" s="12" t="s">
        <v>81</v>
      </c>
      <c r="E204" s="12">
        <f t="shared" si="12"/>
        <v>3.9000000000000004</v>
      </c>
      <c r="F204" s="12">
        <v>258877</v>
      </c>
      <c r="G204" s="12" t="s">
        <v>388</v>
      </c>
      <c r="H204" s="13"/>
    </row>
    <row r="205" spans="1:8" x14ac:dyDescent="0.25">
      <c r="A205" s="14" t="s">
        <v>342</v>
      </c>
      <c r="B205" s="12">
        <v>3</v>
      </c>
      <c r="C205" s="12">
        <v>2.17</v>
      </c>
      <c r="D205" s="12" t="s">
        <v>81</v>
      </c>
      <c r="E205" s="12">
        <f t="shared" si="12"/>
        <v>6.51</v>
      </c>
      <c r="F205" s="12">
        <v>130893</v>
      </c>
      <c r="G205" s="12" t="s">
        <v>388</v>
      </c>
      <c r="H205" s="13"/>
    </row>
    <row r="206" spans="1:8" x14ac:dyDescent="0.25">
      <c r="A206" s="14" t="s">
        <v>343</v>
      </c>
      <c r="B206" s="12">
        <v>3</v>
      </c>
      <c r="C206" s="12">
        <v>1.46</v>
      </c>
      <c r="D206" s="12" t="s">
        <v>81</v>
      </c>
      <c r="E206" s="12">
        <f t="shared" si="12"/>
        <v>4.38</v>
      </c>
      <c r="F206" s="12">
        <v>130900</v>
      </c>
      <c r="G206" s="12" t="s">
        <v>388</v>
      </c>
      <c r="H206" s="13"/>
    </row>
    <row r="207" spans="1:8" x14ac:dyDescent="0.25">
      <c r="A207" s="14" t="s">
        <v>230</v>
      </c>
      <c r="B207" s="12">
        <v>8</v>
      </c>
      <c r="C207" s="12">
        <v>1.22</v>
      </c>
      <c r="D207" s="12" t="s">
        <v>81</v>
      </c>
      <c r="E207" s="12">
        <f t="shared" si="12"/>
        <v>9.76</v>
      </c>
      <c r="F207" s="12">
        <v>127246</v>
      </c>
      <c r="G207" s="12" t="s">
        <v>388</v>
      </c>
      <c r="H207" s="13"/>
    </row>
    <row r="208" spans="1:8" x14ac:dyDescent="0.25">
      <c r="A208" s="14" t="s">
        <v>344</v>
      </c>
      <c r="B208" s="12">
        <v>3</v>
      </c>
      <c r="C208" s="12">
        <v>28.26</v>
      </c>
      <c r="D208" s="12" t="s">
        <v>81</v>
      </c>
      <c r="E208" s="12">
        <f t="shared" si="12"/>
        <v>84.78</v>
      </c>
      <c r="F208" s="12">
        <v>126420</v>
      </c>
      <c r="G208" s="12" t="s">
        <v>388</v>
      </c>
      <c r="H208" s="13"/>
    </row>
    <row r="209" spans="1:8" x14ac:dyDescent="0.25">
      <c r="A209" s="14" t="s">
        <v>345</v>
      </c>
      <c r="B209" s="12">
        <v>3</v>
      </c>
      <c r="C209" s="12">
        <v>28.26</v>
      </c>
      <c r="D209" s="12" t="s">
        <v>81</v>
      </c>
      <c r="E209" s="12">
        <f t="shared" si="12"/>
        <v>84.78</v>
      </c>
      <c r="F209" s="12">
        <v>126427</v>
      </c>
      <c r="G209" s="12" t="s">
        <v>388</v>
      </c>
      <c r="H209" s="13"/>
    </row>
    <row r="210" spans="1:8" x14ac:dyDescent="0.25">
      <c r="A210" s="14" t="s">
        <v>237</v>
      </c>
      <c r="B210" s="12">
        <v>96</v>
      </c>
      <c r="C210" s="12">
        <v>1.175</v>
      </c>
      <c r="D210" s="12" t="s">
        <v>81</v>
      </c>
      <c r="E210" s="12">
        <f t="shared" si="12"/>
        <v>112.80000000000001</v>
      </c>
      <c r="F210" s="12">
        <v>240393</v>
      </c>
      <c r="G210" s="12" t="s">
        <v>388</v>
      </c>
      <c r="H210" s="13"/>
    </row>
    <row r="211" spans="1:8" x14ac:dyDescent="0.25">
      <c r="A211" s="14" t="s">
        <v>238</v>
      </c>
      <c r="B211" s="12">
        <v>40</v>
      </c>
      <c r="C211" s="12">
        <v>1.97</v>
      </c>
      <c r="D211" s="12" t="s">
        <v>81</v>
      </c>
      <c r="E211" s="12">
        <f t="shared" si="12"/>
        <v>78.8</v>
      </c>
      <c r="F211" s="12">
        <v>240372</v>
      </c>
      <c r="G211" s="12" t="s">
        <v>388</v>
      </c>
      <c r="H211" s="13"/>
    </row>
    <row r="212" spans="1:8" x14ac:dyDescent="0.25">
      <c r="A212" s="14" t="s">
        <v>346</v>
      </c>
      <c r="B212" s="12">
        <v>0</v>
      </c>
      <c r="C212" s="12">
        <v>5.01</v>
      </c>
      <c r="D212" s="12" t="s">
        <v>81</v>
      </c>
      <c r="E212" s="12">
        <f t="shared" si="12"/>
        <v>0</v>
      </c>
      <c r="F212" s="12">
        <v>125564</v>
      </c>
      <c r="G212" s="12" t="s">
        <v>388</v>
      </c>
      <c r="H212" s="13"/>
    </row>
    <row r="213" spans="1:8" x14ac:dyDescent="0.25">
      <c r="A213" s="14" t="s">
        <v>347</v>
      </c>
      <c r="B213" s="12">
        <v>0</v>
      </c>
      <c r="C213" s="12">
        <v>3.26</v>
      </c>
      <c r="D213" s="12" t="s">
        <v>81</v>
      </c>
      <c r="E213" s="12">
        <f t="shared" si="12"/>
        <v>0</v>
      </c>
      <c r="F213" s="12">
        <v>236061</v>
      </c>
      <c r="G213" s="12" t="s">
        <v>388</v>
      </c>
      <c r="H213" s="13"/>
    </row>
    <row r="214" spans="1:8" x14ac:dyDescent="0.25">
      <c r="A214" s="14" t="s">
        <v>390</v>
      </c>
      <c r="B214" s="12">
        <v>5</v>
      </c>
      <c r="C214" s="12">
        <v>1.1499999999999999</v>
      </c>
      <c r="D214" s="12" t="s">
        <v>81</v>
      </c>
      <c r="E214" s="12">
        <f t="shared" ref="E214:E215" si="13">B214*C214</f>
        <v>5.75</v>
      </c>
      <c r="F214" s="12">
        <v>211279</v>
      </c>
      <c r="G214" s="12" t="s">
        <v>388</v>
      </c>
      <c r="H214" s="13"/>
    </row>
    <row r="215" spans="1:8" x14ac:dyDescent="0.25">
      <c r="A215" s="14" t="s">
        <v>389</v>
      </c>
      <c r="B215" s="12">
        <v>12</v>
      </c>
      <c r="C215" s="12">
        <v>1.05</v>
      </c>
      <c r="D215" s="12" t="s">
        <v>81</v>
      </c>
      <c r="E215" s="12">
        <f t="shared" si="13"/>
        <v>12.600000000000001</v>
      </c>
      <c r="F215" s="12">
        <v>226772</v>
      </c>
      <c r="G215" s="12" t="s">
        <v>388</v>
      </c>
      <c r="H215" s="13"/>
    </row>
    <row r="216" spans="1:8" x14ac:dyDescent="0.25">
      <c r="A216" s="14" t="s">
        <v>348</v>
      </c>
      <c r="B216" s="12">
        <v>12</v>
      </c>
      <c r="C216" s="12">
        <v>0.74</v>
      </c>
      <c r="D216" s="12" t="s">
        <v>81</v>
      </c>
      <c r="E216" s="12">
        <f t="shared" si="12"/>
        <v>8.879999999999999</v>
      </c>
      <c r="F216" s="12">
        <v>226779</v>
      </c>
      <c r="G216" s="12" t="s">
        <v>388</v>
      </c>
      <c r="H216" s="13"/>
    </row>
    <row r="217" spans="1:8" x14ac:dyDescent="0.25">
      <c r="A217" s="14" t="s">
        <v>353</v>
      </c>
      <c r="B217" s="12">
        <v>39</v>
      </c>
      <c r="C217" s="12">
        <v>0.9</v>
      </c>
      <c r="D217" s="12" t="s">
        <v>81</v>
      </c>
      <c r="E217" s="12">
        <f t="shared" si="12"/>
        <v>35.1</v>
      </c>
      <c r="F217" s="12">
        <v>225869</v>
      </c>
      <c r="G217" s="12" t="s">
        <v>388</v>
      </c>
      <c r="H217" s="13"/>
    </row>
    <row r="218" spans="1:8" x14ac:dyDescent="0.25">
      <c r="A218" s="14" t="s">
        <v>349</v>
      </c>
      <c r="B218" s="12">
        <v>0</v>
      </c>
      <c r="C218" s="12">
        <v>1.1599999999999999</v>
      </c>
      <c r="D218" s="12" t="s">
        <v>81</v>
      </c>
      <c r="E218" s="12">
        <f t="shared" si="12"/>
        <v>0</v>
      </c>
      <c r="F218" s="12">
        <v>253361</v>
      </c>
      <c r="G218" s="12" t="s">
        <v>388</v>
      </c>
      <c r="H218" s="13"/>
    </row>
    <row r="219" spans="1:8" x14ac:dyDescent="0.25">
      <c r="A219" s="14" t="s">
        <v>350</v>
      </c>
      <c r="B219" s="12">
        <v>0</v>
      </c>
      <c r="C219" s="12">
        <v>1.1599999999999999</v>
      </c>
      <c r="D219" s="12" t="s">
        <v>81</v>
      </c>
      <c r="E219" s="12">
        <f t="shared" si="12"/>
        <v>0</v>
      </c>
      <c r="F219" s="12">
        <v>253368</v>
      </c>
      <c r="G219" s="12" t="s">
        <v>388</v>
      </c>
      <c r="H219" s="13"/>
    </row>
    <row r="220" spans="1:8" x14ac:dyDescent="0.25">
      <c r="A220" s="14" t="s">
        <v>351</v>
      </c>
      <c r="B220" s="12">
        <v>5</v>
      </c>
      <c r="C220" s="12">
        <v>1.1599999999999999</v>
      </c>
      <c r="D220" s="12" t="s">
        <v>81</v>
      </c>
      <c r="E220" s="12">
        <f t="shared" si="12"/>
        <v>5.8</v>
      </c>
      <c r="F220" s="12">
        <v>253375</v>
      </c>
      <c r="G220" s="12" t="s">
        <v>388</v>
      </c>
      <c r="H220" s="13"/>
    </row>
    <row r="221" spans="1:8" x14ac:dyDescent="0.25">
      <c r="A221" s="14" t="s">
        <v>352</v>
      </c>
      <c r="B221" s="12">
        <v>1</v>
      </c>
      <c r="C221" s="12">
        <v>9.64</v>
      </c>
      <c r="D221" s="12" t="s">
        <v>81</v>
      </c>
      <c r="E221" s="12">
        <f t="shared" si="12"/>
        <v>9.64</v>
      </c>
      <c r="F221" s="12">
        <v>234318</v>
      </c>
      <c r="G221" s="12" t="s">
        <v>388</v>
      </c>
      <c r="H221" s="13"/>
    </row>
    <row r="222" spans="1:8" x14ac:dyDescent="0.25">
      <c r="A222" s="14" t="s">
        <v>299</v>
      </c>
      <c r="B222" s="12">
        <v>10</v>
      </c>
      <c r="C222" s="12">
        <v>11.33</v>
      </c>
      <c r="D222" s="12" t="s">
        <v>81</v>
      </c>
      <c r="E222" s="12">
        <f t="shared" si="12"/>
        <v>113.3</v>
      </c>
      <c r="F222" s="12">
        <v>244683</v>
      </c>
      <c r="G222" s="12" t="s">
        <v>388</v>
      </c>
      <c r="H222" s="13"/>
    </row>
    <row r="223" spans="1:8" x14ac:dyDescent="0.25">
      <c r="A223" s="14" t="s">
        <v>300</v>
      </c>
      <c r="B223" s="12">
        <v>4</v>
      </c>
      <c r="C223" s="12">
        <v>77.209999999999994</v>
      </c>
      <c r="D223" s="12" t="s">
        <v>81</v>
      </c>
      <c r="E223" s="12">
        <f t="shared" si="12"/>
        <v>308.83999999999997</v>
      </c>
      <c r="F223" s="12">
        <v>244673</v>
      </c>
      <c r="G223" s="12" t="s">
        <v>388</v>
      </c>
      <c r="H223" s="13"/>
    </row>
    <row r="224" spans="1:8" x14ac:dyDescent="0.25">
      <c r="A224" s="14" t="s">
        <v>247</v>
      </c>
      <c r="B224" s="12">
        <v>14</v>
      </c>
      <c r="C224" s="12">
        <v>0.17660000000000001</v>
      </c>
      <c r="D224" s="12" t="s">
        <v>81</v>
      </c>
      <c r="E224" s="12">
        <f t="shared" si="12"/>
        <v>2.4723999999999999</v>
      </c>
      <c r="F224" s="12">
        <v>253301</v>
      </c>
      <c r="G224" s="12" t="s">
        <v>388</v>
      </c>
      <c r="H224" s="13"/>
    </row>
    <row r="225" spans="1:8" x14ac:dyDescent="0.25">
      <c r="A225" s="14" t="s">
        <v>248</v>
      </c>
      <c r="B225" s="12">
        <v>1</v>
      </c>
      <c r="C225" s="12">
        <v>1.78</v>
      </c>
      <c r="D225" s="12" t="s">
        <v>81</v>
      </c>
      <c r="E225" s="12">
        <f t="shared" si="12"/>
        <v>1.78</v>
      </c>
      <c r="F225" s="12">
        <v>256109</v>
      </c>
      <c r="G225" s="12" t="s">
        <v>388</v>
      </c>
      <c r="H225" s="13"/>
    </row>
    <row r="226" spans="1:8" x14ac:dyDescent="0.25">
      <c r="A226" s="14" t="s">
        <v>249</v>
      </c>
      <c r="B226" s="12">
        <v>0</v>
      </c>
      <c r="C226" s="12">
        <v>2.5499999999999998</v>
      </c>
      <c r="D226" s="12" t="s">
        <v>81</v>
      </c>
      <c r="E226" s="12">
        <f t="shared" si="12"/>
        <v>0</v>
      </c>
      <c r="F226" s="12">
        <v>255017</v>
      </c>
      <c r="G226" s="12" t="s">
        <v>388</v>
      </c>
      <c r="H226" s="13"/>
    </row>
    <row r="227" spans="1:8" x14ac:dyDescent="0.25">
      <c r="A227" s="14" t="s">
        <v>307</v>
      </c>
      <c r="B227" s="12">
        <v>0</v>
      </c>
      <c r="C227" s="12">
        <v>2.72</v>
      </c>
      <c r="D227" s="12" t="s">
        <v>81</v>
      </c>
      <c r="E227" s="12">
        <f t="shared" si="12"/>
        <v>0</v>
      </c>
      <c r="F227" s="12">
        <v>255713</v>
      </c>
      <c r="G227" s="12" t="s">
        <v>388</v>
      </c>
      <c r="H227" s="13"/>
    </row>
    <row r="228" spans="1:8" x14ac:dyDescent="0.25">
      <c r="A228" s="14" t="s">
        <v>308</v>
      </c>
      <c r="B228" s="12">
        <v>0</v>
      </c>
      <c r="C228" s="12">
        <v>2.88</v>
      </c>
      <c r="D228" s="12" t="s">
        <v>81</v>
      </c>
      <c r="E228" s="12">
        <f t="shared" si="12"/>
        <v>0</v>
      </c>
      <c r="F228" s="12">
        <v>545483</v>
      </c>
      <c r="G228" s="12" t="s">
        <v>388</v>
      </c>
      <c r="H228" s="13"/>
    </row>
    <row r="229" spans="1:8" x14ac:dyDescent="0.25">
      <c r="A229" s="14" t="s">
        <v>253</v>
      </c>
      <c r="B229" s="12">
        <v>7</v>
      </c>
      <c r="C229" s="12">
        <v>4.09</v>
      </c>
      <c r="D229" s="12" t="s">
        <v>81</v>
      </c>
      <c r="E229" s="12">
        <f t="shared" si="12"/>
        <v>28.63</v>
      </c>
      <c r="F229" s="12">
        <v>251436</v>
      </c>
      <c r="G229" s="12" t="s">
        <v>388</v>
      </c>
      <c r="H229" s="13"/>
    </row>
    <row r="230" spans="1:8" x14ac:dyDescent="0.25">
      <c r="A230" s="14" t="s">
        <v>254</v>
      </c>
      <c r="B230" s="12">
        <v>3</v>
      </c>
      <c r="C230" s="12">
        <v>4.2</v>
      </c>
      <c r="D230" s="12" t="s">
        <v>81</v>
      </c>
      <c r="E230" s="12">
        <f t="shared" si="12"/>
        <v>12.600000000000001</v>
      </c>
      <c r="F230" s="12">
        <v>251443</v>
      </c>
      <c r="G230" s="12" t="s">
        <v>388</v>
      </c>
      <c r="H230" s="13"/>
    </row>
    <row r="231" spans="1:8" x14ac:dyDescent="0.25">
      <c r="A231" s="14" t="s">
        <v>252</v>
      </c>
      <c r="B231" s="12">
        <v>20</v>
      </c>
      <c r="C231" s="12">
        <v>0.59</v>
      </c>
      <c r="D231" s="12" t="s">
        <v>81</v>
      </c>
      <c r="E231" s="12">
        <f t="shared" si="12"/>
        <v>11.799999999999999</v>
      </c>
      <c r="F231" s="12">
        <v>255976</v>
      </c>
      <c r="G231" s="12" t="s">
        <v>388</v>
      </c>
      <c r="H231" s="13"/>
    </row>
    <row r="232" spans="1:8" x14ac:dyDescent="0.25">
      <c r="A232" s="14" t="s">
        <v>355</v>
      </c>
      <c r="B232" s="12">
        <v>6</v>
      </c>
      <c r="C232" s="12">
        <v>1.74</v>
      </c>
      <c r="D232" s="12" t="s">
        <v>81</v>
      </c>
      <c r="E232" s="12">
        <f t="shared" si="12"/>
        <v>10.44</v>
      </c>
      <c r="F232" s="12">
        <v>138257</v>
      </c>
      <c r="G232" s="12" t="s">
        <v>388</v>
      </c>
      <c r="H232" s="13"/>
    </row>
    <row r="233" spans="1:8" x14ac:dyDescent="0.25">
      <c r="A233" s="14" t="s">
        <v>356</v>
      </c>
      <c r="B233" s="12">
        <v>3</v>
      </c>
      <c r="C233" s="12">
        <v>5.22</v>
      </c>
      <c r="D233" s="12" t="s">
        <v>81</v>
      </c>
      <c r="E233" s="12">
        <f t="shared" si="12"/>
        <v>15.66</v>
      </c>
      <c r="F233" s="12">
        <v>111047</v>
      </c>
      <c r="G233" s="12" t="s">
        <v>388</v>
      </c>
      <c r="H233" s="13"/>
    </row>
    <row r="234" spans="1:8" x14ac:dyDescent="0.25">
      <c r="A234" s="14" t="s">
        <v>357</v>
      </c>
      <c r="B234" s="12">
        <v>2</v>
      </c>
      <c r="C234" s="12">
        <v>3.93</v>
      </c>
      <c r="D234" s="12" t="s">
        <v>81</v>
      </c>
      <c r="E234" s="12">
        <f t="shared" si="12"/>
        <v>7.86</v>
      </c>
      <c r="F234" s="12">
        <v>139909</v>
      </c>
      <c r="G234" s="12" t="s">
        <v>388</v>
      </c>
      <c r="H234" s="13"/>
    </row>
    <row r="235" spans="1:8" x14ac:dyDescent="0.25">
      <c r="A235" s="14" t="s">
        <v>358</v>
      </c>
      <c r="B235" s="12">
        <v>1</v>
      </c>
      <c r="C235" s="12">
        <v>4.92</v>
      </c>
      <c r="D235" s="12" t="s">
        <v>81</v>
      </c>
      <c r="E235" s="12">
        <f t="shared" si="12"/>
        <v>4.92</v>
      </c>
      <c r="F235" s="12">
        <v>120507</v>
      </c>
      <c r="G235" s="12" t="s">
        <v>388</v>
      </c>
      <c r="H235" s="13"/>
    </row>
    <row r="236" spans="1:8" x14ac:dyDescent="0.25">
      <c r="A236" s="14" t="s">
        <v>354</v>
      </c>
      <c r="B236" s="12">
        <v>2</v>
      </c>
      <c r="C236" s="12">
        <v>45.3</v>
      </c>
      <c r="D236" s="12" t="s">
        <v>81</v>
      </c>
      <c r="E236" s="12">
        <f>B236*C236</f>
        <v>90.6</v>
      </c>
      <c r="F236" s="12">
        <v>127099</v>
      </c>
      <c r="G236" s="12" t="s">
        <v>388</v>
      </c>
      <c r="H236" s="13"/>
    </row>
    <row r="237" spans="1:8" x14ac:dyDescent="0.25">
      <c r="A237" s="14" t="s">
        <v>392</v>
      </c>
      <c r="B237" s="12">
        <v>4</v>
      </c>
      <c r="C237" s="12">
        <v>1.24</v>
      </c>
      <c r="D237" s="12" t="s">
        <v>81</v>
      </c>
      <c r="E237" s="12">
        <f t="shared" ref="E237:E246" si="14">B237*C237</f>
        <v>4.96</v>
      </c>
      <c r="F237" s="12">
        <v>250229</v>
      </c>
      <c r="G237" s="12" t="s">
        <v>388</v>
      </c>
      <c r="H237" s="13"/>
    </row>
    <row r="238" spans="1:8" x14ac:dyDescent="0.25">
      <c r="A238" s="14" t="s">
        <v>376</v>
      </c>
      <c r="B238" s="12">
        <v>21</v>
      </c>
      <c r="C238" s="12">
        <v>2.48</v>
      </c>
      <c r="D238" s="12" t="s">
        <v>81</v>
      </c>
      <c r="E238" s="12">
        <f t="shared" si="14"/>
        <v>52.08</v>
      </c>
      <c r="F238" s="12">
        <v>252174</v>
      </c>
      <c r="G238" s="12" t="s">
        <v>388</v>
      </c>
      <c r="H238" s="13"/>
    </row>
    <row r="239" spans="1:8" x14ac:dyDescent="0.25">
      <c r="A239" s="14" t="s">
        <v>387</v>
      </c>
      <c r="B239" s="12">
        <v>4</v>
      </c>
      <c r="C239" s="12">
        <v>3.6459999999999999</v>
      </c>
      <c r="D239" s="12" t="s">
        <v>81</v>
      </c>
      <c r="E239" s="12">
        <f t="shared" si="14"/>
        <v>14.584</v>
      </c>
      <c r="F239" s="12">
        <v>250186</v>
      </c>
      <c r="G239" s="12" t="s">
        <v>388</v>
      </c>
      <c r="H239" s="13"/>
    </row>
    <row r="240" spans="1:8" x14ac:dyDescent="0.25">
      <c r="A240" s="14" t="s">
        <v>378</v>
      </c>
      <c r="B240" s="12">
        <v>4</v>
      </c>
      <c r="C240" s="12">
        <v>19.23</v>
      </c>
      <c r="D240" s="12" t="s">
        <v>81</v>
      </c>
      <c r="E240" s="12">
        <f t="shared" si="14"/>
        <v>76.92</v>
      </c>
      <c r="F240" s="12">
        <v>245731</v>
      </c>
      <c r="G240" s="12" t="s">
        <v>388</v>
      </c>
      <c r="H240" s="13"/>
    </row>
    <row r="241" spans="1:8" x14ac:dyDescent="0.25">
      <c r="A241" s="14" t="s">
        <v>379</v>
      </c>
      <c r="B241" s="12">
        <v>16</v>
      </c>
      <c r="C241" s="12">
        <v>7.36</v>
      </c>
      <c r="D241" s="12" t="s">
        <v>81</v>
      </c>
      <c r="E241" s="12">
        <f t="shared" si="14"/>
        <v>117.76</v>
      </c>
      <c r="F241" s="12">
        <v>245871</v>
      </c>
      <c r="G241" s="12" t="s">
        <v>388</v>
      </c>
      <c r="H241" s="13"/>
    </row>
    <row r="242" spans="1:8" x14ac:dyDescent="0.25">
      <c r="A242" s="14" t="s">
        <v>380</v>
      </c>
      <c r="B242" s="12">
        <v>3</v>
      </c>
      <c r="C242" s="12">
        <v>3.27</v>
      </c>
      <c r="D242" s="12" t="s">
        <v>81</v>
      </c>
      <c r="E242" s="12">
        <f t="shared" si="14"/>
        <v>9.81</v>
      </c>
      <c r="F242" s="12">
        <v>246798</v>
      </c>
      <c r="G242" s="12" t="s">
        <v>388</v>
      </c>
      <c r="H242" s="13"/>
    </row>
    <row r="243" spans="1:8" x14ac:dyDescent="0.25">
      <c r="A243" s="14" t="s">
        <v>381</v>
      </c>
      <c r="B243" s="12">
        <v>4</v>
      </c>
      <c r="C243" s="12">
        <v>14.13</v>
      </c>
      <c r="D243" s="12" t="s">
        <v>81</v>
      </c>
      <c r="E243" s="12">
        <f t="shared" si="14"/>
        <v>56.52</v>
      </c>
      <c r="F243" s="12">
        <v>245158</v>
      </c>
      <c r="G243" s="12" t="s">
        <v>388</v>
      </c>
      <c r="H243" s="13"/>
    </row>
    <row r="244" spans="1:8" x14ac:dyDescent="0.25">
      <c r="A244" s="14" t="s">
        <v>382</v>
      </c>
      <c r="B244" s="12">
        <v>2</v>
      </c>
      <c r="C244" s="12">
        <v>9.11</v>
      </c>
      <c r="D244" s="12" t="s">
        <v>81</v>
      </c>
      <c r="E244" s="12">
        <f t="shared" si="14"/>
        <v>18.22</v>
      </c>
      <c r="F244" s="12">
        <v>247939</v>
      </c>
      <c r="G244" s="12" t="s">
        <v>388</v>
      </c>
      <c r="H244" s="13"/>
    </row>
    <row r="245" spans="1:8" x14ac:dyDescent="0.25">
      <c r="A245" s="14" t="s">
        <v>383</v>
      </c>
      <c r="B245" s="12">
        <v>2</v>
      </c>
      <c r="C245" s="12">
        <v>5.27</v>
      </c>
      <c r="D245" s="12" t="s">
        <v>81</v>
      </c>
      <c r="E245" s="12">
        <f t="shared" si="14"/>
        <v>10.54</v>
      </c>
      <c r="F245" s="12">
        <v>255069</v>
      </c>
      <c r="G245" s="12" t="s">
        <v>388</v>
      </c>
      <c r="H245" s="13"/>
    </row>
    <row r="246" spans="1:8" x14ac:dyDescent="0.25">
      <c r="A246" s="14" t="s">
        <v>383</v>
      </c>
      <c r="B246" s="12">
        <v>2</v>
      </c>
      <c r="C246" s="12">
        <v>8.3699999999999992</v>
      </c>
      <c r="D246" s="12" t="s">
        <v>81</v>
      </c>
      <c r="E246" s="12">
        <f t="shared" si="14"/>
        <v>16.739999999999998</v>
      </c>
      <c r="F246" s="12">
        <v>255076</v>
      </c>
      <c r="G246" s="12" t="s">
        <v>388</v>
      </c>
      <c r="H246" s="13"/>
    </row>
    <row r="247" spans="1:8" x14ac:dyDescent="0.25">
      <c r="A247" s="14" t="s">
        <v>384</v>
      </c>
      <c r="B247" s="12">
        <v>70</v>
      </c>
      <c r="C247" s="12">
        <v>9.92</v>
      </c>
      <c r="D247" s="12" t="s">
        <v>386</v>
      </c>
      <c r="E247" s="12">
        <f>B247*C247/100</f>
        <v>6.944</v>
      </c>
      <c r="F247" s="12">
        <v>230811</v>
      </c>
      <c r="G247" s="12" t="s">
        <v>388</v>
      </c>
      <c r="H247" s="13"/>
    </row>
    <row r="248" spans="1:8" x14ac:dyDescent="0.25">
      <c r="A248" s="14" t="s">
        <v>385</v>
      </c>
      <c r="B248" s="12">
        <v>53</v>
      </c>
      <c r="C248" s="12">
        <v>13.05</v>
      </c>
      <c r="D248" s="12" t="s">
        <v>386</v>
      </c>
      <c r="E248" s="12">
        <f>B248*C248/100</f>
        <v>6.916500000000001</v>
      </c>
      <c r="F248" s="12">
        <v>236698</v>
      </c>
      <c r="G248" s="12" t="s">
        <v>388</v>
      </c>
      <c r="H248" s="13"/>
    </row>
    <row r="249" spans="1:8" x14ac:dyDescent="0.25">
      <c r="A249" s="14"/>
      <c r="B249" s="12"/>
      <c r="C249" s="12"/>
      <c r="D249" s="12"/>
      <c r="E249" s="12"/>
      <c r="F249" s="12"/>
      <c r="G249" s="12"/>
      <c r="H249" s="13"/>
    </row>
    <row r="250" spans="1:8" x14ac:dyDescent="0.25">
      <c r="A250" s="14"/>
      <c r="B250" s="12"/>
      <c r="C250" s="12"/>
      <c r="D250" s="12"/>
      <c r="E250" s="12"/>
      <c r="F250" s="12"/>
      <c r="G250" s="12"/>
      <c r="H250" s="13"/>
    </row>
    <row r="251" spans="1:8" x14ac:dyDescent="0.25">
      <c r="A251" s="14"/>
      <c r="B251" s="12"/>
      <c r="C251" s="12"/>
      <c r="D251" s="12"/>
      <c r="E251" s="12"/>
      <c r="F251" s="12"/>
      <c r="G251" s="12"/>
      <c r="H251" s="13"/>
    </row>
    <row r="252" spans="1:8" x14ac:dyDescent="0.25">
      <c r="A252" s="14"/>
      <c r="B252" s="14"/>
      <c r="C252" s="14"/>
      <c r="D252" s="14"/>
      <c r="E252" s="14">
        <f>SUM(E170:E247)</f>
        <v>2639.7004000000002</v>
      </c>
      <c r="F252" s="12"/>
      <c r="G252" s="12"/>
      <c r="H252" s="13"/>
    </row>
    <row r="253" spans="1:8" x14ac:dyDescent="0.25">
      <c r="A253" s="13"/>
      <c r="B253" s="13"/>
      <c r="C253" s="13"/>
      <c r="D253" s="13"/>
      <c r="E253" s="13"/>
      <c r="F253" s="13"/>
      <c r="G253" s="13"/>
      <c r="H253" s="13"/>
    </row>
    <row r="254" spans="1:8" x14ac:dyDescent="0.25">
      <c r="A254" s="13"/>
      <c r="B254" s="13"/>
      <c r="C254" s="13"/>
      <c r="D254" s="13"/>
      <c r="E254" s="13"/>
      <c r="F254" s="13"/>
      <c r="G254" s="13"/>
      <c r="H254" s="13"/>
    </row>
    <row r="255" spans="1:8" x14ac:dyDescent="0.25">
      <c r="A255" s="13"/>
      <c r="B255" s="13"/>
      <c r="C255" s="13"/>
      <c r="D255" s="14" t="s">
        <v>109</v>
      </c>
      <c r="E255" s="14">
        <f>SUM(E61+E97+E111+E123+E146+E159+E252)</f>
        <v>5330.6240247100013</v>
      </c>
      <c r="F255" s="13"/>
      <c r="G255" s="13"/>
      <c r="H255" s="13"/>
    </row>
    <row r="256" spans="1:8" x14ac:dyDescent="0.25">
      <c r="A256" s="13"/>
      <c r="B256" s="13"/>
      <c r="C256" s="13"/>
      <c r="D256" s="13"/>
      <c r="E256" s="13"/>
      <c r="F256" s="13"/>
      <c r="G256" s="13"/>
      <c r="H256" s="13"/>
    </row>
  </sheetData>
  <mergeCells count="7">
    <mergeCell ref="A168:E168"/>
    <mergeCell ref="A1:E1"/>
    <mergeCell ref="A67:E67"/>
    <mergeCell ref="A100:E100"/>
    <mergeCell ref="A114:E114"/>
    <mergeCell ref="A126:E126"/>
    <mergeCell ref="A149:E149"/>
  </mergeCells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11</vt:i4>
      </vt:variant>
    </vt:vector>
  </HeadingPairs>
  <TitlesOfParts>
    <vt:vector size="11" baseType="lpstr">
      <vt:lpstr>Inventaire au 31,12,16</vt:lpstr>
      <vt:lpstr>Inventaire au 31,12,17</vt:lpstr>
      <vt:lpstr>Inventaire au 31,12,18</vt:lpstr>
      <vt:lpstr>Inventaire stock</vt:lpstr>
      <vt:lpstr>Inventaire pour bilan 2018</vt:lpstr>
      <vt:lpstr>Inventaire pour bilan 2020</vt:lpstr>
      <vt:lpstr>Inventaire pour bilan 2021</vt:lpstr>
      <vt:lpstr>Inventaire pour bilan 2022</vt:lpstr>
      <vt:lpstr>Inventaire pour bilan 2023</vt:lpstr>
      <vt:lpstr>Inventaire pour bilan 2024</vt:lpstr>
      <vt:lpstr>Inventaire pour bilan 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MANDALLAZ</dc:creator>
  <cp:lastModifiedBy>Thomas Mandallaz</cp:lastModifiedBy>
  <cp:lastPrinted>2025-01-16T17:04:26Z</cp:lastPrinted>
  <dcterms:created xsi:type="dcterms:W3CDTF">2017-01-19T19:58:47Z</dcterms:created>
  <dcterms:modified xsi:type="dcterms:W3CDTF">2026-04-22T12:07:35Z</dcterms:modified>
</cp:coreProperties>
</file>